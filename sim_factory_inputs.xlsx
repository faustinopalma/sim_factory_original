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ac\Home\PycharmProjects\sim_factory_basic 0.2\"/>
    </mc:Choice>
  </mc:AlternateContent>
  <bookViews>
    <workbookView xWindow="0" yWindow="0" windowWidth="13160" windowHeight="5220" tabRatio="740" activeTab="8"/>
  </bookViews>
  <sheets>
    <sheet name="production_start x-table" sheetId="23" r:id="rId1"/>
    <sheet name="bom and bol x_table" sheetId="24" r:id="rId2"/>
    <sheet name="production_start" sheetId="11" r:id="rId3"/>
    <sheet name="bom" sheetId="2" r:id="rId4"/>
    <sheet name="bol" sheetId="3" r:id="rId5"/>
    <sheet name="codes_descriptions" sheetId="18" r:id="rId6"/>
    <sheet name="work_cells" sheetId="5" r:id="rId7"/>
    <sheet name="initial_warehouse" sheetId="22" r:id="rId8"/>
    <sheet name="shifts" sheetId="19" r:id="rId9"/>
  </sheets>
  <definedNames>
    <definedName name="_xlnm._FilterDatabase" localSheetId="4" hidden="1">bol!$A$1:$G$14</definedName>
    <definedName name="_xlnm._FilterDatabase" localSheetId="3" hidden="1">bom!$A$1:$C$14</definedName>
    <definedName name="_xlnm._FilterDatabase" localSheetId="5" hidden="1">codes_descriptions!$A$1:$CY$2</definedName>
    <definedName name="_xlnm._FilterDatabase" localSheetId="2" hidden="1">production_start!$A$1:$F$37</definedName>
    <definedName name="codes_list">code_descriptions_table[code_name]</definedName>
    <definedName name="day_zero">shifts!$A$2</definedName>
    <definedName name="work_cells_list">work_cells_table[work_cell]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" i="24" l="1"/>
  <c r="O28" i="24"/>
  <c r="N28" i="24"/>
  <c r="O50" i="24"/>
  <c r="N50" i="24"/>
  <c r="O45" i="24"/>
  <c r="N45" i="24"/>
  <c r="O44" i="24"/>
  <c r="N44" i="24"/>
  <c r="O39" i="24"/>
  <c r="N39" i="24"/>
  <c r="N37" i="24"/>
  <c r="O32" i="24"/>
  <c r="N32" i="24"/>
  <c r="O31" i="24"/>
  <c r="N31" i="24"/>
  <c r="O30" i="24"/>
  <c r="N30" i="24"/>
  <c r="O16" i="24"/>
  <c r="N16" i="24"/>
  <c r="O47" i="24"/>
  <c r="N47" i="24"/>
  <c r="O37" i="24"/>
  <c r="O26" i="24"/>
  <c r="O51" i="24" s="1"/>
  <c r="N26" i="24"/>
  <c r="N14" i="24"/>
  <c r="O22" i="24"/>
  <c r="O21" i="24"/>
  <c r="O7" i="24"/>
  <c r="O6" i="24"/>
  <c r="O5" i="24"/>
  <c r="O11" i="24" s="1"/>
  <c r="O3" i="24"/>
  <c r="N22" i="24"/>
  <c r="N23" i="24" s="1"/>
  <c r="N21" i="24"/>
  <c r="N7" i="24"/>
  <c r="N6" i="24"/>
  <c r="N5" i="24"/>
  <c r="N3" i="24"/>
  <c r="N11" i="24" s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O23" i="24" l="1"/>
  <c r="N51" i="24"/>
  <c r="G2" i="11"/>
  <c r="D16" i="23"/>
  <c r="F16" i="23" s="1"/>
  <c r="D17" i="23"/>
  <c r="F17" i="23" s="1"/>
  <c r="D18" i="23"/>
  <c r="F18" i="23" s="1"/>
  <c r="D19" i="23"/>
  <c r="F19" i="23" s="1"/>
  <c r="D20" i="23"/>
  <c r="F20" i="23" s="1"/>
  <c r="D21" i="23"/>
  <c r="F21" i="23" s="1"/>
  <c r="D22" i="23"/>
  <c r="F22" i="23" s="1"/>
  <c r="D23" i="23"/>
  <c r="F23" i="23" s="1"/>
  <c r="D24" i="23"/>
  <c r="F24" i="23" s="1"/>
  <c r="D25" i="23"/>
  <c r="F25" i="23" s="1"/>
  <c r="D26" i="23"/>
  <c r="F26" i="23" s="1"/>
  <c r="D27" i="23"/>
  <c r="F27" i="23" s="1"/>
  <c r="D28" i="23"/>
  <c r="F28" i="23" s="1"/>
  <c r="D29" i="23"/>
  <c r="F29" i="23" s="1"/>
  <c r="D30" i="23"/>
  <c r="F30" i="23" s="1"/>
  <c r="D31" i="23"/>
  <c r="F31" i="23" s="1"/>
  <c r="D32" i="23"/>
  <c r="F32" i="23" s="1"/>
  <c r="D33" i="23"/>
  <c r="F33" i="23" s="1"/>
  <c r="D34" i="23"/>
  <c r="F34" i="23" s="1"/>
  <c r="D35" i="23"/>
  <c r="F35" i="23" s="1"/>
  <c r="D36" i="23"/>
  <c r="F36" i="23" s="1"/>
  <c r="D37" i="23"/>
  <c r="F37" i="23" s="1"/>
  <c r="D38" i="23"/>
  <c r="F38" i="23" s="1"/>
  <c r="D39" i="23"/>
  <c r="F39" i="23" s="1"/>
  <c r="D40" i="23"/>
  <c r="F40" i="23" s="1"/>
  <c r="D41" i="23"/>
  <c r="F41" i="23" s="1"/>
  <c r="D42" i="23"/>
  <c r="F42" i="23" s="1"/>
  <c r="D43" i="23"/>
  <c r="F43" i="23" s="1"/>
  <c r="D44" i="23"/>
  <c r="F44" i="23" s="1"/>
  <c r="D45" i="23"/>
  <c r="F45" i="23" s="1"/>
  <c r="D46" i="23"/>
  <c r="F46" i="23" s="1"/>
  <c r="D47" i="23"/>
  <c r="F47" i="23" s="1"/>
  <c r="D48" i="23"/>
  <c r="F48" i="23" s="1"/>
  <c r="D49" i="23"/>
  <c r="F49" i="23" s="1"/>
  <c r="D50" i="23"/>
  <c r="F50" i="23" s="1"/>
  <c r="D15" i="23"/>
  <c r="F15" i="23" s="1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15" i="23"/>
  <c r="G49" i="23" l="1"/>
  <c r="G47" i="23"/>
  <c r="G45" i="23"/>
  <c r="G43" i="23"/>
  <c r="G41" i="23"/>
  <c r="G39" i="23"/>
  <c r="G37" i="23"/>
  <c r="G35" i="23"/>
  <c r="G33" i="23"/>
  <c r="G31" i="23"/>
  <c r="G29" i="23"/>
  <c r="G27" i="23"/>
  <c r="G25" i="23"/>
  <c r="G23" i="23"/>
  <c r="G21" i="23"/>
  <c r="G19" i="23"/>
  <c r="G17" i="23"/>
  <c r="E47" i="23"/>
  <c r="E39" i="23"/>
  <c r="E31" i="23"/>
  <c r="E23" i="23"/>
  <c r="G15" i="23"/>
  <c r="G50" i="23"/>
  <c r="G48" i="23"/>
  <c r="G46" i="23"/>
  <c r="G44" i="23"/>
  <c r="G42" i="23"/>
  <c r="G40" i="23"/>
  <c r="G38" i="23"/>
  <c r="G36" i="23"/>
  <c r="G34" i="23"/>
  <c r="G32" i="23"/>
  <c r="G30" i="23"/>
  <c r="G28" i="23"/>
  <c r="G26" i="23"/>
  <c r="G24" i="23"/>
  <c r="G22" i="23"/>
  <c r="G20" i="23"/>
  <c r="G18" i="23"/>
  <c r="G16" i="23"/>
  <c r="E43" i="23"/>
  <c r="E35" i="23"/>
  <c r="E27" i="23"/>
  <c r="E19" i="23"/>
  <c r="E49" i="23"/>
  <c r="E45" i="23"/>
  <c r="E41" i="23"/>
  <c r="E37" i="23"/>
  <c r="E33" i="23"/>
  <c r="E29" i="23"/>
  <c r="E25" i="23"/>
  <c r="E21" i="23"/>
  <c r="E17" i="23"/>
  <c r="E15" i="23"/>
  <c r="E50" i="23"/>
  <c r="E48" i="23"/>
  <c r="E46" i="23"/>
  <c r="E44" i="23"/>
  <c r="E42" i="23"/>
  <c r="E40" i="23"/>
  <c r="E38" i="23"/>
  <c r="E36" i="23"/>
  <c r="E34" i="23"/>
  <c r="E32" i="23"/>
  <c r="E30" i="23"/>
  <c r="E28" i="23"/>
  <c r="E26" i="23"/>
  <c r="E24" i="23"/>
  <c r="E22" i="23"/>
  <c r="E20" i="23"/>
  <c r="E18" i="23"/>
  <c r="E16" i="23"/>
  <c r="D14" i="18"/>
  <c r="E14" i="18"/>
  <c r="D13" i="18"/>
  <c r="E13" i="18"/>
  <c r="D12" i="18"/>
  <c r="E12" i="18"/>
  <c r="D11" i="18"/>
  <c r="E11" i="18"/>
  <c r="D10" i="18"/>
  <c r="E10" i="18"/>
  <c r="D9" i="18"/>
  <c r="E9" i="18"/>
  <c r="D8" i="18"/>
  <c r="E8" i="18"/>
  <c r="D7" i="18"/>
  <c r="E7" i="18"/>
  <c r="D6" i="18"/>
  <c r="E6" i="18"/>
  <c r="D2" i="18" l="1"/>
  <c r="D3" i="18"/>
  <c r="D4" i="18"/>
  <c r="D5" i="18"/>
  <c r="E2" i="18"/>
  <c r="E3" i="18"/>
  <c r="E4" i="18"/>
  <c r="E5" i="18"/>
  <c r="B2" i="19" l="1"/>
  <c r="C2" i="19"/>
  <c r="F2" i="19" s="1"/>
  <c r="A3" i="19"/>
  <c r="A4" i="19" s="1"/>
  <c r="A5" i="19" s="1"/>
  <c r="A6" i="19" s="1"/>
  <c r="A7" i="19" s="1"/>
  <c r="A8" i="19" s="1"/>
  <c r="A9" i="19" s="1"/>
  <c r="A10" i="19" s="1"/>
  <c r="A11" i="19" s="1"/>
  <c r="C11" i="19" s="1"/>
  <c r="F11" i="19" s="1"/>
  <c r="B11" i="19" l="1"/>
  <c r="B7" i="19"/>
  <c r="B3" i="19"/>
  <c r="B9" i="19"/>
  <c r="B5" i="19"/>
  <c r="B10" i="19"/>
  <c r="B8" i="19"/>
  <c r="B6" i="19"/>
  <c r="B4" i="19"/>
  <c r="A12" i="19"/>
  <c r="B12" i="19" s="1"/>
  <c r="C10" i="19"/>
  <c r="F10" i="19" s="1"/>
  <c r="C8" i="19"/>
  <c r="F8" i="19" s="1"/>
  <c r="C6" i="19"/>
  <c r="F6" i="19" s="1"/>
  <c r="C4" i="19"/>
  <c r="F4" i="19" s="1"/>
  <c r="C9" i="19"/>
  <c r="F9" i="19" s="1"/>
  <c r="C7" i="19"/>
  <c r="F7" i="19" s="1"/>
  <c r="C5" i="19"/>
  <c r="F5" i="19" s="1"/>
  <c r="C3" i="19"/>
  <c r="F3" i="19" s="1"/>
  <c r="A13" i="19" l="1"/>
  <c r="B13" i="19" s="1"/>
  <c r="C12" i="19"/>
  <c r="F12" i="19" s="1"/>
  <c r="C13" i="19" l="1"/>
  <c r="F13" i="19" s="1"/>
  <c r="A14" i="19"/>
  <c r="B14" i="19" s="1"/>
  <c r="A15" i="19" l="1"/>
  <c r="B15" i="19" s="1"/>
  <c r="C14" i="19"/>
  <c r="F14" i="19" s="1"/>
  <c r="C15" i="19" l="1"/>
  <c r="F15" i="19" s="1"/>
  <c r="A16" i="19"/>
  <c r="B16" i="19" s="1"/>
  <c r="A17" i="19" l="1"/>
  <c r="B17" i="19" s="1"/>
  <c r="C16" i="19"/>
  <c r="F16" i="19" s="1"/>
  <c r="A18" i="19" l="1"/>
  <c r="B18" i="19" s="1"/>
  <c r="C17" i="19"/>
  <c r="F17" i="19" s="1"/>
  <c r="A19" i="19" l="1"/>
  <c r="B19" i="19" s="1"/>
  <c r="C18" i="19"/>
  <c r="F18" i="19" s="1"/>
  <c r="C19" i="19" l="1"/>
  <c r="F19" i="19" s="1"/>
  <c r="A20" i="19"/>
  <c r="B20" i="19" s="1"/>
  <c r="A21" i="19" l="1"/>
  <c r="B21" i="19" s="1"/>
  <c r="C20" i="19"/>
  <c r="F20" i="19" s="1"/>
  <c r="A22" i="19" l="1"/>
  <c r="B22" i="19" s="1"/>
  <c r="C21" i="19"/>
  <c r="F21" i="19" s="1"/>
  <c r="A23" i="19" l="1"/>
  <c r="B23" i="19" s="1"/>
  <c r="C22" i="19"/>
  <c r="F22" i="19" s="1"/>
  <c r="C23" i="19" l="1"/>
  <c r="F23" i="19" s="1"/>
  <c r="A24" i="19"/>
  <c r="B24" i="19" s="1"/>
  <c r="A25" i="19" l="1"/>
  <c r="B25" i="19" s="1"/>
  <c r="C24" i="19"/>
  <c r="F24" i="19" s="1"/>
  <c r="A26" i="19" l="1"/>
  <c r="B26" i="19" s="1"/>
  <c r="C25" i="19"/>
  <c r="F25" i="19" s="1"/>
  <c r="A27" i="19" l="1"/>
  <c r="B27" i="19" s="1"/>
  <c r="C26" i="19"/>
  <c r="F26" i="19" s="1"/>
  <c r="C27" i="19" l="1"/>
  <c r="F27" i="19" s="1"/>
  <c r="A28" i="19"/>
  <c r="B28" i="19" s="1"/>
  <c r="A29" i="19" l="1"/>
  <c r="B29" i="19" s="1"/>
  <c r="C28" i="19"/>
  <c r="F28" i="19" s="1"/>
  <c r="A30" i="19" l="1"/>
  <c r="B30" i="19" s="1"/>
  <c r="C29" i="19"/>
  <c r="F29" i="19" s="1"/>
  <c r="A31" i="19" l="1"/>
  <c r="B31" i="19" s="1"/>
  <c r="C30" i="19"/>
  <c r="F30" i="19" s="1"/>
  <c r="C31" i="19" l="1"/>
  <c r="F31" i="19" s="1"/>
  <c r="A32" i="19"/>
  <c r="B32" i="19" s="1"/>
  <c r="A33" i="19" l="1"/>
  <c r="B33" i="19" s="1"/>
  <c r="C32" i="19"/>
  <c r="F32" i="19" s="1"/>
  <c r="A34" i="19" l="1"/>
  <c r="B34" i="19" s="1"/>
  <c r="C33" i="19"/>
  <c r="F33" i="19" s="1"/>
  <c r="A35" i="19" l="1"/>
  <c r="B35" i="19" s="1"/>
  <c r="C34" i="19"/>
  <c r="F34" i="19" s="1"/>
  <c r="C35" i="19" l="1"/>
  <c r="F35" i="19" s="1"/>
  <c r="A36" i="19"/>
  <c r="B36" i="19" s="1"/>
  <c r="A37" i="19" l="1"/>
  <c r="B37" i="19" s="1"/>
  <c r="C36" i="19"/>
  <c r="F36" i="19" s="1"/>
  <c r="A38" i="19" l="1"/>
  <c r="B38" i="19" s="1"/>
  <c r="C37" i="19"/>
  <c r="F37" i="19" s="1"/>
  <c r="A39" i="19" l="1"/>
  <c r="B39" i="19" s="1"/>
  <c r="C38" i="19"/>
  <c r="F38" i="19" s="1"/>
  <c r="C39" i="19" l="1"/>
  <c r="F39" i="19" s="1"/>
  <c r="A40" i="19"/>
  <c r="B40" i="19" s="1"/>
  <c r="A41" i="19" l="1"/>
  <c r="B41" i="19" s="1"/>
  <c r="C40" i="19"/>
  <c r="F40" i="19" s="1"/>
  <c r="A42" i="19" l="1"/>
  <c r="B42" i="19" s="1"/>
  <c r="C41" i="19"/>
  <c r="F41" i="19" s="1"/>
  <c r="A43" i="19" l="1"/>
  <c r="B43" i="19" s="1"/>
  <c r="C42" i="19"/>
  <c r="F42" i="19" s="1"/>
  <c r="A44" i="19" l="1"/>
  <c r="B44" i="19" s="1"/>
  <c r="C43" i="19"/>
  <c r="F43" i="19" s="1"/>
  <c r="A45" i="19" l="1"/>
  <c r="B45" i="19" s="1"/>
  <c r="C44" i="19"/>
  <c r="F44" i="19" s="1"/>
  <c r="A46" i="19" l="1"/>
  <c r="B46" i="19" s="1"/>
  <c r="C45" i="19"/>
  <c r="F45" i="19" s="1"/>
  <c r="A47" i="19" l="1"/>
  <c r="B47" i="19" s="1"/>
  <c r="C46" i="19"/>
  <c r="F46" i="19" s="1"/>
  <c r="A48" i="19" l="1"/>
  <c r="B48" i="19" s="1"/>
  <c r="C47" i="19"/>
  <c r="F47" i="19" s="1"/>
  <c r="A49" i="19" l="1"/>
  <c r="B49" i="19" s="1"/>
  <c r="C48" i="19"/>
  <c r="F48" i="19" s="1"/>
  <c r="A50" i="19" l="1"/>
  <c r="B50" i="19" s="1"/>
  <c r="C49" i="19"/>
  <c r="F49" i="19" s="1"/>
  <c r="A51" i="19" l="1"/>
  <c r="B51" i="19" s="1"/>
  <c r="C50" i="19"/>
  <c r="F50" i="19" s="1"/>
  <c r="A52" i="19" l="1"/>
  <c r="B52" i="19" s="1"/>
  <c r="C51" i="19"/>
  <c r="F51" i="19" s="1"/>
  <c r="A53" i="19" l="1"/>
  <c r="B53" i="19" s="1"/>
  <c r="C52" i="19"/>
  <c r="F52" i="19" s="1"/>
  <c r="A54" i="19" l="1"/>
  <c r="B54" i="19" s="1"/>
  <c r="C53" i="19"/>
  <c r="F53" i="19" s="1"/>
  <c r="A55" i="19" l="1"/>
  <c r="B55" i="19" s="1"/>
  <c r="C54" i="19"/>
  <c r="F54" i="19" s="1"/>
  <c r="A56" i="19" l="1"/>
  <c r="B56" i="19" s="1"/>
  <c r="C55" i="19"/>
  <c r="F55" i="19" s="1"/>
  <c r="A57" i="19" l="1"/>
  <c r="B57" i="19" s="1"/>
  <c r="C56" i="19"/>
  <c r="F56" i="19" s="1"/>
  <c r="A58" i="19" l="1"/>
  <c r="B58" i="19" s="1"/>
  <c r="C57" i="19"/>
  <c r="F57" i="19" s="1"/>
  <c r="A59" i="19" l="1"/>
  <c r="B59" i="19" s="1"/>
  <c r="C58" i="19"/>
  <c r="F58" i="19" s="1"/>
  <c r="A60" i="19" l="1"/>
  <c r="B60" i="19" s="1"/>
  <c r="C59" i="19"/>
  <c r="F59" i="19" s="1"/>
  <c r="A61" i="19" l="1"/>
  <c r="B61" i="19" s="1"/>
  <c r="C60" i="19"/>
  <c r="F60" i="19" s="1"/>
  <c r="A62" i="19" l="1"/>
  <c r="B62" i="19" s="1"/>
  <c r="C61" i="19"/>
  <c r="F61" i="19" s="1"/>
  <c r="A63" i="19" l="1"/>
  <c r="B63" i="19" s="1"/>
  <c r="C62" i="19"/>
  <c r="F62" i="19" s="1"/>
  <c r="A64" i="19" l="1"/>
  <c r="B64" i="19" s="1"/>
  <c r="C63" i="19"/>
  <c r="F63" i="19" s="1"/>
  <c r="A65" i="19" l="1"/>
  <c r="B65" i="19" s="1"/>
  <c r="C64" i="19"/>
  <c r="F64" i="19" s="1"/>
  <c r="A66" i="19" l="1"/>
  <c r="B66" i="19" s="1"/>
  <c r="C65" i="19"/>
  <c r="F65" i="19" s="1"/>
  <c r="A67" i="19" l="1"/>
  <c r="B67" i="19" s="1"/>
  <c r="C66" i="19"/>
  <c r="F66" i="19" s="1"/>
  <c r="A68" i="19" l="1"/>
  <c r="B68" i="19" s="1"/>
  <c r="C67" i="19"/>
  <c r="F67" i="19" s="1"/>
  <c r="A69" i="19" l="1"/>
  <c r="B69" i="19" s="1"/>
  <c r="C68" i="19"/>
  <c r="F68" i="19" s="1"/>
  <c r="A70" i="19" l="1"/>
  <c r="B70" i="19" s="1"/>
  <c r="C69" i="19"/>
  <c r="F69" i="19" s="1"/>
  <c r="A71" i="19" l="1"/>
  <c r="B71" i="19" s="1"/>
  <c r="C70" i="19"/>
  <c r="F70" i="19" s="1"/>
  <c r="A72" i="19" l="1"/>
  <c r="B72" i="19" s="1"/>
  <c r="C71" i="19"/>
  <c r="F71" i="19" s="1"/>
  <c r="A73" i="19" l="1"/>
  <c r="B73" i="19" s="1"/>
  <c r="C72" i="19"/>
  <c r="F72" i="19" s="1"/>
  <c r="A74" i="19" l="1"/>
  <c r="B74" i="19" s="1"/>
  <c r="C73" i="19"/>
  <c r="F73" i="19" s="1"/>
  <c r="A75" i="19" l="1"/>
  <c r="B75" i="19" s="1"/>
  <c r="C74" i="19"/>
  <c r="F74" i="19" s="1"/>
  <c r="A76" i="19" l="1"/>
  <c r="B76" i="19" s="1"/>
  <c r="C75" i="19"/>
  <c r="F75" i="19" s="1"/>
  <c r="A77" i="19" l="1"/>
  <c r="B77" i="19" s="1"/>
  <c r="C76" i="19"/>
  <c r="F76" i="19" s="1"/>
  <c r="A78" i="19" l="1"/>
  <c r="B78" i="19" s="1"/>
  <c r="C77" i="19"/>
  <c r="F77" i="19" s="1"/>
  <c r="A79" i="19" l="1"/>
  <c r="B79" i="19" s="1"/>
  <c r="C78" i="19"/>
  <c r="F78" i="19" s="1"/>
  <c r="A80" i="19" l="1"/>
  <c r="B80" i="19" s="1"/>
  <c r="C79" i="19"/>
  <c r="F79" i="19" s="1"/>
  <c r="A81" i="19" l="1"/>
  <c r="B81" i="19" s="1"/>
  <c r="C80" i="19"/>
  <c r="F80" i="19" s="1"/>
  <c r="A82" i="19" l="1"/>
  <c r="B82" i="19" s="1"/>
  <c r="C81" i="19"/>
  <c r="F81" i="19" s="1"/>
  <c r="A83" i="19" l="1"/>
  <c r="B83" i="19" s="1"/>
  <c r="C82" i="19"/>
  <c r="F82" i="19" s="1"/>
  <c r="A84" i="19" l="1"/>
  <c r="B84" i="19" s="1"/>
  <c r="C83" i="19"/>
  <c r="F83" i="19" s="1"/>
  <c r="A85" i="19" l="1"/>
  <c r="B85" i="19" s="1"/>
  <c r="C84" i="19"/>
  <c r="F84" i="19" s="1"/>
  <c r="A86" i="19" l="1"/>
  <c r="B86" i="19" s="1"/>
  <c r="C85" i="19"/>
  <c r="F85" i="19" s="1"/>
  <c r="A87" i="19" l="1"/>
  <c r="B87" i="19" s="1"/>
  <c r="C86" i="19"/>
  <c r="F86" i="19" s="1"/>
  <c r="A88" i="19" l="1"/>
  <c r="B88" i="19" s="1"/>
  <c r="C87" i="19"/>
  <c r="F87" i="19" s="1"/>
  <c r="A89" i="19" l="1"/>
  <c r="B89" i="19" s="1"/>
  <c r="C88" i="19"/>
  <c r="F88" i="19" s="1"/>
  <c r="A90" i="19" l="1"/>
  <c r="B90" i="19" s="1"/>
  <c r="C89" i="19"/>
  <c r="F89" i="19" s="1"/>
  <c r="A91" i="19" l="1"/>
  <c r="B91" i="19" s="1"/>
  <c r="C90" i="19"/>
  <c r="F90" i="19" s="1"/>
  <c r="A92" i="19" l="1"/>
  <c r="B92" i="19" s="1"/>
  <c r="C91" i="19"/>
  <c r="F91" i="19" s="1"/>
  <c r="A93" i="19" l="1"/>
  <c r="B93" i="19" s="1"/>
  <c r="C92" i="19"/>
  <c r="F92" i="19" s="1"/>
  <c r="A94" i="19" l="1"/>
  <c r="B94" i="19" s="1"/>
  <c r="C93" i="19"/>
  <c r="F93" i="19" s="1"/>
  <c r="A95" i="19" l="1"/>
  <c r="B95" i="19" s="1"/>
  <c r="C94" i="19"/>
  <c r="F94" i="19" s="1"/>
  <c r="A96" i="19" l="1"/>
  <c r="B96" i="19" s="1"/>
  <c r="C95" i="19"/>
  <c r="F95" i="19" s="1"/>
  <c r="A97" i="19" l="1"/>
  <c r="B97" i="19" s="1"/>
  <c r="C96" i="19"/>
  <c r="F96" i="19" s="1"/>
  <c r="A98" i="19" l="1"/>
  <c r="B98" i="19" s="1"/>
  <c r="C97" i="19"/>
  <c r="F97" i="19" s="1"/>
  <c r="A99" i="19" l="1"/>
  <c r="B99" i="19" s="1"/>
  <c r="C98" i="19"/>
  <c r="F98" i="19" s="1"/>
  <c r="A100" i="19" l="1"/>
  <c r="B100" i="19" s="1"/>
  <c r="C99" i="19"/>
  <c r="F99" i="19" s="1"/>
  <c r="A101" i="19" l="1"/>
  <c r="B101" i="19" s="1"/>
  <c r="C100" i="19"/>
  <c r="F100" i="19" s="1"/>
  <c r="A102" i="19" l="1"/>
  <c r="B102" i="19" s="1"/>
  <c r="C101" i="19"/>
  <c r="F101" i="19" s="1"/>
  <c r="A103" i="19" l="1"/>
  <c r="B103" i="19" s="1"/>
  <c r="C102" i="19"/>
  <c r="F102" i="19" s="1"/>
  <c r="A104" i="19" l="1"/>
  <c r="B104" i="19" s="1"/>
  <c r="C103" i="19"/>
  <c r="F103" i="19" s="1"/>
  <c r="A105" i="19" l="1"/>
  <c r="B105" i="19" s="1"/>
  <c r="C104" i="19"/>
  <c r="F104" i="19" s="1"/>
  <c r="A106" i="19" l="1"/>
  <c r="B106" i="19" s="1"/>
  <c r="C105" i="19"/>
  <c r="F105" i="19" s="1"/>
  <c r="A107" i="19" l="1"/>
  <c r="B107" i="19" s="1"/>
  <c r="C106" i="19"/>
  <c r="F106" i="19" s="1"/>
  <c r="A108" i="19" l="1"/>
  <c r="B108" i="19" s="1"/>
  <c r="C107" i="19"/>
  <c r="F107" i="19" s="1"/>
  <c r="A109" i="19" l="1"/>
  <c r="B109" i="19" s="1"/>
  <c r="C108" i="19"/>
  <c r="F108" i="19" s="1"/>
  <c r="A110" i="19" l="1"/>
  <c r="B110" i="19" s="1"/>
  <c r="C109" i="19"/>
  <c r="F109" i="19" s="1"/>
  <c r="A111" i="19" l="1"/>
  <c r="B111" i="19" s="1"/>
  <c r="C110" i="19"/>
  <c r="F110" i="19" s="1"/>
  <c r="A112" i="19" l="1"/>
  <c r="B112" i="19" s="1"/>
  <c r="C111" i="19"/>
  <c r="F111" i="19" s="1"/>
  <c r="A113" i="19" l="1"/>
  <c r="B113" i="19" s="1"/>
  <c r="C112" i="19"/>
  <c r="F112" i="19" s="1"/>
  <c r="C113" i="19" l="1"/>
  <c r="F113" i="19" s="1"/>
  <c r="A114" i="19"/>
  <c r="B114" i="19" s="1"/>
  <c r="C114" i="19" l="1"/>
  <c r="F114" i="19" s="1"/>
  <c r="A115" i="19"/>
  <c r="B115" i="19" s="1"/>
  <c r="C115" i="19" l="1"/>
  <c r="F115" i="19" s="1"/>
  <c r="A116" i="19"/>
  <c r="B116" i="19" s="1"/>
  <c r="C116" i="19" l="1"/>
  <c r="F116" i="19" s="1"/>
  <c r="A117" i="19"/>
  <c r="B117" i="19" s="1"/>
  <c r="C117" i="19" l="1"/>
  <c r="F117" i="19" s="1"/>
  <c r="A118" i="19"/>
  <c r="B118" i="19" s="1"/>
  <c r="C118" i="19" l="1"/>
  <c r="F118" i="19" s="1"/>
  <c r="A119" i="19"/>
  <c r="B119" i="19" s="1"/>
  <c r="C119" i="19" l="1"/>
  <c r="F119" i="19" s="1"/>
  <c r="A120" i="19"/>
  <c r="B120" i="19" s="1"/>
  <c r="C120" i="19" l="1"/>
  <c r="F120" i="19" s="1"/>
  <c r="A121" i="19"/>
  <c r="B121" i="19" s="1"/>
  <c r="C121" i="19" l="1"/>
  <c r="F121" i="19" s="1"/>
  <c r="A122" i="19"/>
  <c r="B122" i="19" s="1"/>
  <c r="C122" i="19" l="1"/>
  <c r="F122" i="19" s="1"/>
  <c r="A123" i="19"/>
  <c r="B123" i="19" s="1"/>
  <c r="C123" i="19" l="1"/>
  <c r="F123" i="19" s="1"/>
  <c r="A124" i="19"/>
  <c r="B124" i="19" s="1"/>
  <c r="C124" i="19" l="1"/>
  <c r="F124" i="19" s="1"/>
  <c r="A125" i="19"/>
  <c r="B125" i="19" s="1"/>
  <c r="C125" i="19" l="1"/>
  <c r="F125" i="19" s="1"/>
  <c r="A126" i="19"/>
  <c r="B126" i="19" s="1"/>
  <c r="C126" i="19" l="1"/>
  <c r="F126" i="19" s="1"/>
  <c r="A127" i="19"/>
  <c r="B127" i="19" s="1"/>
  <c r="C127" i="19" l="1"/>
  <c r="F127" i="19" s="1"/>
  <c r="A128" i="19"/>
  <c r="B128" i="19" s="1"/>
  <c r="C128" i="19" l="1"/>
  <c r="F128" i="19" s="1"/>
  <c r="A129" i="19"/>
  <c r="B129" i="19" s="1"/>
  <c r="C129" i="19" l="1"/>
  <c r="F129" i="19" s="1"/>
  <c r="A130" i="19"/>
  <c r="B130" i="19" s="1"/>
  <c r="C130" i="19" l="1"/>
  <c r="F130" i="19" s="1"/>
  <c r="A131" i="19"/>
  <c r="B131" i="19" s="1"/>
  <c r="A132" i="19" l="1"/>
  <c r="B132" i="19" s="1"/>
  <c r="C131" i="19"/>
  <c r="F131" i="19" s="1"/>
  <c r="A133" i="19" l="1"/>
  <c r="B133" i="19" s="1"/>
  <c r="C132" i="19"/>
  <c r="F132" i="19" s="1"/>
  <c r="C133" i="19" l="1"/>
  <c r="F133" i="19" s="1"/>
  <c r="A134" i="19"/>
  <c r="B134" i="19" s="1"/>
  <c r="C134" i="19" l="1"/>
  <c r="F134" i="19" s="1"/>
  <c r="A135" i="19"/>
  <c r="B135" i="19" s="1"/>
  <c r="A136" i="19" l="1"/>
  <c r="B136" i="19" s="1"/>
  <c r="C135" i="19"/>
  <c r="F135" i="19" s="1"/>
  <c r="C136" i="19" l="1"/>
  <c r="F136" i="19" s="1"/>
  <c r="A137" i="19"/>
  <c r="B137" i="19" s="1"/>
  <c r="C137" i="19" l="1"/>
  <c r="F137" i="19" s="1"/>
  <c r="A138" i="19"/>
  <c r="B138" i="19" s="1"/>
  <c r="C138" i="19" l="1"/>
  <c r="F138" i="19" s="1"/>
  <c r="A139" i="19"/>
  <c r="B139" i="19" s="1"/>
  <c r="C139" i="19" l="1"/>
  <c r="F139" i="19" s="1"/>
  <c r="A140" i="19"/>
  <c r="B140" i="19" s="1"/>
  <c r="C140" i="19" l="1"/>
  <c r="F140" i="19" s="1"/>
  <c r="A141" i="19"/>
  <c r="B141" i="19" s="1"/>
  <c r="C141" i="19" l="1"/>
  <c r="F141" i="19" s="1"/>
  <c r="A142" i="19"/>
  <c r="B142" i="19" s="1"/>
  <c r="C142" i="19" l="1"/>
  <c r="F142" i="19" s="1"/>
  <c r="A143" i="19"/>
  <c r="B143" i="19" s="1"/>
  <c r="C143" i="19" l="1"/>
  <c r="F143" i="19" s="1"/>
  <c r="A144" i="19"/>
  <c r="B144" i="19" s="1"/>
  <c r="C144" i="19" l="1"/>
  <c r="F144" i="19" s="1"/>
  <c r="A145" i="19"/>
  <c r="B145" i="19" s="1"/>
  <c r="C145" i="19" l="1"/>
  <c r="F145" i="19" s="1"/>
  <c r="A146" i="19"/>
  <c r="B146" i="19" s="1"/>
  <c r="C146" i="19" l="1"/>
  <c r="F146" i="19" s="1"/>
  <c r="A147" i="19"/>
  <c r="B147" i="19" s="1"/>
  <c r="C147" i="19" l="1"/>
  <c r="F147" i="19" s="1"/>
  <c r="A148" i="19"/>
  <c r="B148" i="19" s="1"/>
  <c r="A149" i="19" l="1"/>
  <c r="B149" i="19" s="1"/>
  <c r="C148" i="19"/>
  <c r="F148" i="19" s="1"/>
  <c r="C149" i="19" l="1"/>
  <c r="F149" i="19" s="1"/>
  <c r="A150" i="19"/>
  <c r="B150" i="19" s="1"/>
  <c r="A151" i="19" l="1"/>
  <c r="B151" i="19" s="1"/>
  <c r="C150" i="19"/>
  <c r="F150" i="19" s="1"/>
  <c r="C151" i="19" l="1"/>
  <c r="F151" i="19" s="1"/>
  <c r="A152" i="19"/>
  <c r="B152" i="19" s="1"/>
  <c r="A153" i="19" l="1"/>
  <c r="B153" i="19" s="1"/>
  <c r="C152" i="19"/>
  <c r="F152" i="19" s="1"/>
  <c r="A154" i="19" l="1"/>
  <c r="B154" i="19" s="1"/>
  <c r="C153" i="19"/>
  <c r="F153" i="19" s="1"/>
  <c r="C154" i="19" l="1"/>
  <c r="F154" i="19" s="1"/>
  <c r="A155" i="19"/>
  <c r="B155" i="19" s="1"/>
  <c r="C155" i="19" l="1"/>
  <c r="F155" i="19" s="1"/>
  <c r="A156" i="19"/>
  <c r="B156" i="19" s="1"/>
  <c r="C156" i="19" l="1"/>
  <c r="F156" i="19" s="1"/>
  <c r="A157" i="19"/>
  <c r="B157" i="19" s="1"/>
  <c r="C157" i="19" l="1"/>
  <c r="F157" i="19" s="1"/>
  <c r="A158" i="19"/>
  <c r="B158" i="19" s="1"/>
  <c r="C158" i="19" l="1"/>
  <c r="F158" i="19" s="1"/>
  <c r="A159" i="19"/>
  <c r="B159" i="19" s="1"/>
  <c r="C159" i="19" l="1"/>
  <c r="F159" i="19" s="1"/>
  <c r="A160" i="19"/>
  <c r="B160" i="19" s="1"/>
  <c r="C160" i="19" l="1"/>
  <c r="F160" i="19" s="1"/>
  <c r="A161" i="19"/>
  <c r="B161" i="19" s="1"/>
  <c r="C161" i="19" l="1"/>
  <c r="F161" i="19" s="1"/>
  <c r="A162" i="19"/>
  <c r="B162" i="19" s="1"/>
  <c r="C162" i="19" l="1"/>
  <c r="F162" i="19" s="1"/>
  <c r="A163" i="19"/>
  <c r="B163" i="19" s="1"/>
  <c r="A164" i="19" l="1"/>
  <c r="B164" i="19" s="1"/>
  <c r="C163" i="19"/>
  <c r="F163" i="19" s="1"/>
  <c r="C164" i="19" l="1"/>
  <c r="F164" i="19" s="1"/>
  <c r="A165" i="19"/>
  <c r="B165" i="19" s="1"/>
  <c r="C165" i="19" l="1"/>
  <c r="F165" i="19" s="1"/>
  <c r="A166" i="19"/>
  <c r="B166" i="19" s="1"/>
  <c r="C166" i="19" l="1"/>
  <c r="F166" i="19" s="1"/>
  <c r="A167" i="19"/>
  <c r="B167" i="19" s="1"/>
  <c r="C167" i="19" l="1"/>
  <c r="F167" i="19" s="1"/>
  <c r="A168" i="19"/>
  <c r="B168" i="19" s="1"/>
  <c r="C168" i="19" l="1"/>
  <c r="F168" i="19" s="1"/>
  <c r="A169" i="19"/>
  <c r="B169" i="19" s="1"/>
  <c r="C169" i="19" l="1"/>
  <c r="F169" i="19" s="1"/>
  <c r="A170" i="19"/>
  <c r="B170" i="19" s="1"/>
  <c r="C170" i="19" l="1"/>
  <c r="F170" i="19" s="1"/>
  <c r="A171" i="19"/>
  <c r="B171" i="19" s="1"/>
  <c r="C171" i="19" l="1"/>
  <c r="F171" i="19" s="1"/>
  <c r="A172" i="19"/>
  <c r="B172" i="19" s="1"/>
  <c r="C172" i="19" l="1"/>
  <c r="F172" i="19" s="1"/>
  <c r="A173" i="19"/>
  <c r="B173" i="19" s="1"/>
  <c r="C173" i="19" l="1"/>
  <c r="F173" i="19" s="1"/>
  <c r="A174" i="19"/>
  <c r="B174" i="19" s="1"/>
  <c r="C174" i="19" l="1"/>
  <c r="F174" i="19" s="1"/>
  <c r="A175" i="19"/>
  <c r="B175" i="19" s="1"/>
  <c r="A176" i="19" l="1"/>
  <c r="B176" i="19" s="1"/>
  <c r="C175" i="19"/>
  <c r="F175" i="19" s="1"/>
  <c r="C176" i="19" l="1"/>
  <c r="F176" i="19" s="1"/>
  <c r="A177" i="19"/>
  <c r="B177" i="19" s="1"/>
  <c r="A178" i="19" l="1"/>
  <c r="B178" i="19" s="1"/>
  <c r="C177" i="19"/>
  <c r="F177" i="19" s="1"/>
  <c r="C178" i="19" l="1"/>
  <c r="F178" i="19" s="1"/>
  <c r="A179" i="19"/>
  <c r="B179" i="19" s="1"/>
  <c r="C179" i="19" l="1"/>
  <c r="F179" i="19" s="1"/>
  <c r="A180" i="19"/>
  <c r="B180" i="19" s="1"/>
  <c r="C180" i="19" l="1"/>
  <c r="F180" i="19" s="1"/>
  <c r="A181" i="19"/>
  <c r="B181" i="19" s="1"/>
  <c r="A182" i="19" l="1"/>
  <c r="B182" i="19" s="1"/>
  <c r="C181" i="19"/>
  <c r="F181" i="19" s="1"/>
  <c r="C182" i="19" l="1"/>
  <c r="F182" i="19" s="1"/>
  <c r="A183" i="19"/>
  <c r="B183" i="19" s="1"/>
  <c r="C183" i="19" l="1"/>
  <c r="F183" i="19" s="1"/>
  <c r="A184" i="19"/>
  <c r="B184" i="19" s="1"/>
  <c r="C184" i="19" l="1"/>
  <c r="F184" i="19" s="1"/>
  <c r="A185" i="19"/>
  <c r="B185" i="19" s="1"/>
  <c r="C185" i="19" l="1"/>
  <c r="F185" i="19" s="1"/>
  <c r="A186" i="19"/>
  <c r="B186" i="19" s="1"/>
  <c r="C186" i="19" l="1"/>
  <c r="F186" i="19" s="1"/>
  <c r="A187" i="19"/>
  <c r="B187" i="19" s="1"/>
  <c r="C187" i="19" l="1"/>
  <c r="F187" i="19" s="1"/>
  <c r="A188" i="19"/>
  <c r="B188" i="19" s="1"/>
  <c r="C188" i="19" l="1"/>
  <c r="F188" i="19" s="1"/>
  <c r="A189" i="19"/>
  <c r="B189" i="19" s="1"/>
  <c r="C189" i="19" l="1"/>
  <c r="F189" i="19" s="1"/>
  <c r="A190" i="19"/>
  <c r="B190" i="19" s="1"/>
  <c r="A191" i="19" l="1"/>
  <c r="B191" i="19" s="1"/>
  <c r="C190" i="19"/>
  <c r="F190" i="19" s="1"/>
  <c r="A192" i="19" l="1"/>
  <c r="B192" i="19" s="1"/>
  <c r="C191" i="19"/>
  <c r="F191" i="19" s="1"/>
  <c r="A193" i="19" l="1"/>
  <c r="B193" i="19" s="1"/>
  <c r="C192" i="19"/>
  <c r="F192" i="19" s="1"/>
  <c r="A194" i="19" l="1"/>
  <c r="B194" i="19" s="1"/>
  <c r="C193" i="19"/>
  <c r="F193" i="19" s="1"/>
  <c r="A195" i="19" l="1"/>
  <c r="B195" i="19" s="1"/>
  <c r="C194" i="19"/>
  <c r="F194" i="19" s="1"/>
  <c r="C195" i="19" l="1"/>
  <c r="F195" i="19" s="1"/>
  <c r="A196" i="19"/>
  <c r="B196" i="19" s="1"/>
  <c r="C196" i="19" l="1"/>
  <c r="F196" i="19" s="1"/>
  <c r="A197" i="19"/>
  <c r="B197" i="19" s="1"/>
  <c r="C197" i="19" l="1"/>
  <c r="F197" i="19" s="1"/>
  <c r="A198" i="19"/>
  <c r="B198" i="19" s="1"/>
  <c r="C198" i="19" l="1"/>
  <c r="F198" i="19" s="1"/>
  <c r="A199" i="19"/>
  <c r="B199" i="19" s="1"/>
  <c r="C199" i="19" l="1"/>
  <c r="F199" i="19" s="1"/>
  <c r="A200" i="19"/>
  <c r="B200" i="19" s="1"/>
  <c r="C200" i="19" l="1"/>
  <c r="F200" i="19" s="1"/>
  <c r="A201" i="19"/>
  <c r="B201" i="19" s="1"/>
  <c r="A202" i="19" l="1"/>
  <c r="B202" i="19" s="1"/>
  <c r="C201" i="19"/>
  <c r="F201" i="19" s="1"/>
  <c r="A203" i="19" l="1"/>
  <c r="B203" i="19" s="1"/>
  <c r="C202" i="19"/>
  <c r="F202" i="19" s="1"/>
  <c r="C203" i="19" l="1"/>
  <c r="F203" i="19" s="1"/>
  <c r="A204" i="19"/>
  <c r="B204" i="19" s="1"/>
  <c r="A205" i="19" l="1"/>
  <c r="B205" i="19" s="1"/>
  <c r="C204" i="19"/>
  <c r="F204" i="19" s="1"/>
  <c r="C205" i="19" l="1"/>
  <c r="F205" i="19" s="1"/>
  <c r="A206" i="19"/>
  <c r="B206" i="19" s="1"/>
  <c r="C206" i="19" l="1"/>
  <c r="F206" i="19" s="1"/>
  <c r="A207" i="19"/>
  <c r="B207" i="19" s="1"/>
  <c r="C207" i="19" l="1"/>
  <c r="F207" i="19" s="1"/>
  <c r="A208" i="19"/>
  <c r="B208" i="19" s="1"/>
  <c r="C208" i="19" l="1"/>
  <c r="F208" i="19" s="1"/>
  <c r="A209" i="19"/>
  <c r="B209" i="19" s="1"/>
  <c r="A210" i="19" l="1"/>
  <c r="B210" i="19" s="1"/>
  <c r="C209" i="19"/>
  <c r="F209" i="19" s="1"/>
  <c r="C210" i="19" l="1"/>
  <c r="F210" i="19" s="1"/>
  <c r="A211" i="19"/>
  <c r="B211" i="19" s="1"/>
  <c r="C211" i="19" l="1"/>
  <c r="F211" i="19" s="1"/>
  <c r="A212" i="19"/>
  <c r="B212" i="19" s="1"/>
  <c r="C212" i="19" l="1"/>
  <c r="F212" i="19" s="1"/>
  <c r="A213" i="19"/>
  <c r="B213" i="19" s="1"/>
  <c r="C213" i="19" l="1"/>
  <c r="F213" i="19" s="1"/>
  <c r="A214" i="19"/>
  <c r="B214" i="19" s="1"/>
  <c r="C214" i="19" l="1"/>
  <c r="F214" i="19" s="1"/>
  <c r="A215" i="19"/>
  <c r="B215" i="19" s="1"/>
  <c r="A216" i="19" l="1"/>
  <c r="B216" i="19" s="1"/>
  <c r="C215" i="19"/>
  <c r="F215" i="19" s="1"/>
  <c r="A217" i="19" l="1"/>
  <c r="B217" i="19" s="1"/>
  <c r="C216" i="19"/>
  <c r="F216" i="19" s="1"/>
  <c r="A218" i="19" l="1"/>
  <c r="B218" i="19" s="1"/>
  <c r="C217" i="19"/>
  <c r="F217" i="19" s="1"/>
  <c r="C218" i="19" l="1"/>
  <c r="F218" i="19" s="1"/>
  <c r="A219" i="19"/>
  <c r="B219" i="19" s="1"/>
  <c r="C219" i="19" l="1"/>
  <c r="F219" i="19" s="1"/>
  <c r="A220" i="19"/>
  <c r="B220" i="19" s="1"/>
  <c r="C220" i="19" l="1"/>
  <c r="F220" i="19" s="1"/>
  <c r="A221" i="19"/>
  <c r="B221" i="19" s="1"/>
  <c r="C221" i="19" l="1"/>
  <c r="F221" i="19" s="1"/>
  <c r="A222" i="19"/>
  <c r="B222" i="19" s="1"/>
  <c r="C222" i="19" l="1"/>
  <c r="F222" i="19" s="1"/>
  <c r="A223" i="19"/>
  <c r="B223" i="19" s="1"/>
  <c r="A224" i="19" l="1"/>
  <c r="B224" i="19" s="1"/>
  <c r="C223" i="19"/>
  <c r="F223" i="19" s="1"/>
  <c r="A225" i="19" l="1"/>
  <c r="B225" i="19" s="1"/>
  <c r="C224" i="19"/>
  <c r="F224" i="19" s="1"/>
  <c r="A226" i="19" l="1"/>
  <c r="B226" i="19" s="1"/>
  <c r="C225" i="19"/>
  <c r="F225" i="19" s="1"/>
  <c r="A227" i="19" l="1"/>
  <c r="B227" i="19" s="1"/>
  <c r="C226" i="19"/>
  <c r="F226" i="19" s="1"/>
  <c r="A228" i="19" l="1"/>
  <c r="B228" i="19" s="1"/>
  <c r="C227" i="19"/>
  <c r="F227" i="19" s="1"/>
  <c r="A229" i="19" l="1"/>
  <c r="B229" i="19" s="1"/>
  <c r="C228" i="19"/>
  <c r="F228" i="19" s="1"/>
  <c r="A230" i="19" l="1"/>
  <c r="B230" i="19" s="1"/>
  <c r="C229" i="19"/>
  <c r="F229" i="19" s="1"/>
  <c r="A231" i="19" l="1"/>
  <c r="B231" i="19" s="1"/>
  <c r="C230" i="19"/>
  <c r="F230" i="19" s="1"/>
  <c r="A232" i="19" l="1"/>
  <c r="B232" i="19" s="1"/>
  <c r="C231" i="19"/>
  <c r="F231" i="19" s="1"/>
  <c r="A233" i="19" l="1"/>
  <c r="B233" i="19" s="1"/>
  <c r="C232" i="19"/>
  <c r="F232" i="19" s="1"/>
  <c r="A234" i="19" l="1"/>
  <c r="B234" i="19" s="1"/>
  <c r="C233" i="19"/>
  <c r="F233" i="19" s="1"/>
  <c r="A235" i="19" l="1"/>
  <c r="B235" i="19" s="1"/>
  <c r="C234" i="19"/>
  <c r="F234" i="19" s="1"/>
  <c r="A236" i="19" l="1"/>
  <c r="B236" i="19" s="1"/>
  <c r="C235" i="19"/>
  <c r="F235" i="19" s="1"/>
  <c r="A237" i="19" l="1"/>
  <c r="B237" i="19" s="1"/>
  <c r="C236" i="19"/>
  <c r="F236" i="19" s="1"/>
  <c r="A238" i="19" l="1"/>
  <c r="B238" i="19" s="1"/>
  <c r="C237" i="19"/>
  <c r="F237" i="19" s="1"/>
  <c r="A239" i="19" l="1"/>
  <c r="B239" i="19" s="1"/>
  <c r="C238" i="19"/>
  <c r="F238" i="19" s="1"/>
  <c r="A240" i="19" l="1"/>
  <c r="B240" i="19" s="1"/>
  <c r="C239" i="19"/>
  <c r="F239" i="19" s="1"/>
  <c r="A241" i="19" l="1"/>
  <c r="B241" i="19" s="1"/>
  <c r="C240" i="19"/>
  <c r="F240" i="19" s="1"/>
  <c r="A242" i="19" l="1"/>
  <c r="B242" i="19" s="1"/>
  <c r="C241" i="19"/>
  <c r="F241" i="19" s="1"/>
  <c r="A243" i="19" l="1"/>
  <c r="B243" i="19" s="1"/>
  <c r="C242" i="19"/>
  <c r="F242" i="19" s="1"/>
  <c r="A244" i="19" l="1"/>
  <c r="B244" i="19" s="1"/>
  <c r="C243" i="19"/>
  <c r="F243" i="19" s="1"/>
  <c r="A245" i="19" l="1"/>
  <c r="B245" i="19" s="1"/>
  <c r="C244" i="19"/>
  <c r="F244" i="19" s="1"/>
  <c r="A246" i="19" l="1"/>
  <c r="B246" i="19" s="1"/>
  <c r="C245" i="19"/>
  <c r="F245" i="19" s="1"/>
  <c r="A247" i="19" l="1"/>
  <c r="B247" i="19" s="1"/>
  <c r="C246" i="19"/>
  <c r="F246" i="19" s="1"/>
  <c r="A248" i="19" l="1"/>
  <c r="B248" i="19" s="1"/>
  <c r="C247" i="19"/>
  <c r="F247" i="19" s="1"/>
  <c r="A249" i="19" l="1"/>
  <c r="B249" i="19" s="1"/>
  <c r="C248" i="19"/>
  <c r="F248" i="19" s="1"/>
  <c r="A250" i="19" l="1"/>
  <c r="B250" i="19" s="1"/>
  <c r="C249" i="19"/>
  <c r="F249" i="19" s="1"/>
  <c r="A251" i="19" l="1"/>
  <c r="B251" i="19" s="1"/>
  <c r="C250" i="19"/>
  <c r="F250" i="19" s="1"/>
  <c r="A252" i="19" l="1"/>
  <c r="B252" i="19" s="1"/>
  <c r="C251" i="19"/>
  <c r="F251" i="19" s="1"/>
  <c r="A253" i="19" l="1"/>
  <c r="B253" i="19" s="1"/>
  <c r="C252" i="19"/>
  <c r="F252" i="19" s="1"/>
  <c r="A254" i="19" l="1"/>
  <c r="B254" i="19" s="1"/>
  <c r="C253" i="19"/>
  <c r="F253" i="19" s="1"/>
  <c r="A255" i="19" l="1"/>
  <c r="B255" i="19" s="1"/>
  <c r="C254" i="19"/>
  <c r="F254" i="19" s="1"/>
  <c r="A256" i="19" l="1"/>
  <c r="B256" i="19" s="1"/>
  <c r="C255" i="19"/>
  <c r="F255" i="19" s="1"/>
  <c r="A257" i="19" l="1"/>
  <c r="B257" i="19" s="1"/>
  <c r="C256" i="19"/>
  <c r="F256" i="19" s="1"/>
  <c r="A258" i="19" l="1"/>
  <c r="B258" i="19" s="1"/>
  <c r="C257" i="19"/>
  <c r="F257" i="19" s="1"/>
  <c r="A259" i="19" l="1"/>
  <c r="B259" i="19" s="1"/>
  <c r="C258" i="19"/>
  <c r="F258" i="19" s="1"/>
  <c r="A260" i="19" l="1"/>
  <c r="B260" i="19" s="1"/>
  <c r="C259" i="19"/>
  <c r="F259" i="19" s="1"/>
  <c r="A261" i="19" l="1"/>
  <c r="B261" i="19" s="1"/>
  <c r="C260" i="19"/>
  <c r="F260" i="19" s="1"/>
  <c r="A262" i="19" l="1"/>
  <c r="B262" i="19" s="1"/>
  <c r="C261" i="19"/>
  <c r="F261" i="19" s="1"/>
  <c r="A263" i="19" l="1"/>
  <c r="B263" i="19" s="1"/>
  <c r="C262" i="19"/>
  <c r="F262" i="19" s="1"/>
  <c r="A264" i="19" l="1"/>
  <c r="B264" i="19" s="1"/>
  <c r="C263" i="19"/>
  <c r="F263" i="19" s="1"/>
  <c r="A265" i="19" l="1"/>
  <c r="B265" i="19" s="1"/>
  <c r="C264" i="19"/>
  <c r="F264" i="19" s="1"/>
  <c r="A266" i="19" l="1"/>
  <c r="B266" i="19" s="1"/>
  <c r="C265" i="19"/>
  <c r="F265" i="19" s="1"/>
  <c r="A267" i="19" l="1"/>
  <c r="B267" i="19" s="1"/>
  <c r="C266" i="19"/>
  <c r="F266" i="19" s="1"/>
  <c r="A268" i="19" l="1"/>
  <c r="B268" i="19" s="1"/>
  <c r="C267" i="19"/>
  <c r="F267" i="19" s="1"/>
  <c r="A269" i="19" l="1"/>
  <c r="B269" i="19" s="1"/>
  <c r="C268" i="19"/>
  <c r="F268" i="19" s="1"/>
  <c r="A270" i="19" l="1"/>
  <c r="B270" i="19" s="1"/>
  <c r="C269" i="19"/>
  <c r="F269" i="19" s="1"/>
  <c r="A271" i="19" l="1"/>
  <c r="B271" i="19" s="1"/>
  <c r="C270" i="19"/>
  <c r="F270" i="19" s="1"/>
  <c r="A272" i="19" l="1"/>
  <c r="B272" i="19" s="1"/>
  <c r="C271" i="19"/>
  <c r="F271" i="19" s="1"/>
  <c r="A273" i="19" l="1"/>
  <c r="B273" i="19" s="1"/>
  <c r="C272" i="19"/>
  <c r="F272" i="19" s="1"/>
  <c r="A274" i="19" l="1"/>
  <c r="B274" i="19" s="1"/>
  <c r="C273" i="19"/>
  <c r="F273" i="19" s="1"/>
  <c r="A275" i="19" l="1"/>
  <c r="B275" i="19" s="1"/>
  <c r="C274" i="19"/>
  <c r="F274" i="19" s="1"/>
  <c r="A276" i="19" l="1"/>
  <c r="B276" i="19" s="1"/>
  <c r="C275" i="19"/>
  <c r="F275" i="19" s="1"/>
  <c r="A277" i="19" l="1"/>
  <c r="B277" i="19" s="1"/>
  <c r="C276" i="19"/>
  <c r="F276" i="19" s="1"/>
  <c r="A278" i="19" l="1"/>
  <c r="B278" i="19" s="1"/>
  <c r="C277" i="19"/>
  <c r="F277" i="19" s="1"/>
  <c r="A279" i="19" l="1"/>
  <c r="B279" i="19" s="1"/>
  <c r="C278" i="19"/>
  <c r="F278" i="19" s="1"/>
  <c r="A280" i="19" l="1"/>
  <c r="B280" i="19" s="1"/>
  <c r="C279" i="19"/>
  <c r="F279" i="19" s="1"/>
  <c r="A281" i="19" l="1"/>
  <c r="B281" i="19" s="1"/>
  <c r="C280" i="19"/>
  <c r="F280" i="19" s="1"/>
  <c r="A282" i="19" l="1"/>
  <c r="B282" i="19" s="1"/>
  <c r="C281" i="19"/>
  <c r="F281" i="19" s="1"/>
  <c r="A283" i="19" l="1"/>
  <c r="B283" i="19" s="1"/>
  <c r="C282" i="19"/>
  <c r="F282" i="19" s="1"/>
  <c r="A284" i="19" l="1"/>
  <c r="B284" i="19" s="1"/>
  <c r="C283" i="19"/>
  <c r="F283" i="19" s="1"/>
  <c r="A285" i="19" l="1"/>
  <c r="B285" i="19" s="1"/>
  <c r="C284" i="19"/>
  <c r="F284" i="19" s="1"/>
  <c r="A286" i="19" l="1"/>
  <c r="B286" i="19" s="1"/>
  <c r="C285" i="19"/>
  <c r="F285" i="19" s="1"/>
  <c r="A287" i="19" l="1"/>
  <c r="B287" i="19" s="1"/>
  <c r="C286" i="19"/>
  <c r="F286" i="19" s="1"/>
  <c r="A288" i="19" l="1"/>
  <c r="B288" i="19" s="1"/>
  <c r="C287" i="19"/>
  <c r="F287" i="19" s="1"/>
  <c r="A289" i="19" l="1"/>
  <c r="B289" i="19" s="1"/>
  <c r="C288" i="19"/>
  <c r="F288" i="19" s="1"/>
  <c r="A290" i="19" l="1"/>
  <c r="B290" i="19" s="1"/>
  <c r="C289" i="19"/>
  <c r="F289" i="19" s="1"/>
  <c r="A291" i="19" l="1"/>
  <c r="B291" i="19" s="1"/>
  <c r="C290" i="19"/>
  <c r="F290" i="19" s="1"/>
  <c r="A292" i="19" l="1"/>
  <c r="B292" i="19" s="1"/>
  <c r="C291" i="19"/>
  <c r="F291" i="19" s="1"/>
  <c r="A293" i="19" l="1"/>
  <c r="B293" i="19" s="1"/>
  <c r="C292" i="19"/>
  <c r="F292" i="19" s="1"/>
  <c r="A294" i="19" l="1"/>
  <c r="B294" i="19" s="1"/>
  <c r="C293" i="19"/>
  <c r="F293" i="19" s="1"/>
  <c r="A295" i="19" l="1"/>
  <c r="B295" i="19" s="1"/>
  <c r="C294" i="19"/>
  <c r="F294" i="19" s="1"/>
  <c r="A296" i="19" l="1"/>
  <c r="B296" i="19" s="1"/>
  <c r="C295" i="19"/>
  <c r="F295" i="19" s="1"/>
  <c r="A297" i="19" l="1"/>
  <c r="B297" i="19" s="1"/>
  <c r="C296" i="19"/>
  <c r="F296" i="19" s="1"/>
  <c r="A298" i="19" l="1"/>
  <c r="B298" i="19" s="1"/>
  <c r="C297" i="19"/>
  <c r="F297" i="19" s="1"/>
  <c r="A299" i="19" l="1"/>
  <c r="B299" i="19" s="1"/>
  <c r="C298" i="19"/>
  <c r="F298" i="19" s="1"/>
  <c r="A300" i="19" l="1"/>
  <c r="B300" i="19" s="1"/>
  <c r="C299" i="19"/>
  <c r="F299" i="19" s="1"/>
  <c r="A301" i="19" l="1"/>
  <c r="B301" i="19" s="1"/>
  <c r="C300" i="19"/>
  <c r="F300" i="19" s="1"/>
  <c r="A302" i="19" l="1"/>
  <c r="B302" i="19" s="1"/>
  <c r="C301" i="19"/>
  <c r="F301" i="19" s="1"/>
  <c r="A303" i="19" l="1"/>
  <c r="B303" i="19" s="1"/>
  <c r="C302" i="19"/>
  <c r="F302" i="19" s="1"/>
  <c r="A304" i="19" l="1"/>
  <c r="B304" i="19" s="1"/>
  <c r="C303" i="19"/>
  <c r="F303" i="19" s="1"/>
  <c r="A305" i="19" l="1"/>
  <c r="B305" i="19" s="1"/>
  <c r="C304" i="19"/>
  <c r="F304" i="19" s="1"/>
  <c r="A306" i="19" l="1"/>
  <c r="B306" i="19" s="1"/>
  <c r="C305" i="19"/>
  <c r="F305" i="19" s="1"/>
  <c r="A307" i="19" l="1"/>
  <c r="B307" i="19" s="1"/>
  <c r="C306" i="19"/>
  <c r="F306" i="19" s="1"/>
  <c r="A308" i="19" l="1"/>
  <c r="B308" i="19" s="1"/>
  <c r="C307" i="19"/>
  <c r="F307" i="19" s="1"/>
  <c r="A309" i="19" l="1"/>
  <c r="B309" i="19" s="1"/>
  <c r="C308" i="19"/>
  <c r="F308" i="19" s="1"/>
  <c r="A310" i="19" l="1"/>
  <c r="B310" i="19" s="1"/>
  <c r="C309" i="19"/>
  <c r="F309" i="19" s="1"/>
  <c r="A311" i="19" l="1"/>
  <c r="B311" i="19" s="1"/>
  <c r="C310" i="19"/>
  <c r="F310" i="19" s="1"/>
  <c r="A312" i="19" l="1"/>
  <c r="B312" i="19" s="1"/>
  <c r="C311" i="19"/>
  <c r="F311" i="19" s="1"/>
  <c r="A313" i="19" l="1"/>
  <c r="B313" i="19" s="1"/>
  <c r="C312" i="19"/>
  <c r="F312" i="19" s="1"/>
  <c r="A314" i="19" l="1"/>
  <c r="B314" i="19" s="1"/>
  <c r="C313" i="19"/>
  <c r="F313" i="19" s="1"/>
  <c r="A315" i="19" l="1"/>
  <c r="B315" i="19" s="1"/>
  <c r="C314" i="19"/>
  <c r="F314" i="19" s="1"/>
  <c r="A316" i="19" l="1"/>
  <c r="B316" i="19" s="1"/>
  <c r="C315" i="19"/>
  <c r="F315" i="19" s="1"/>
  <c r="A317" i="19" l="1"/>
  <c r="B317" i="19" s="1"/>
  <c r="C316" i="19"/>
  <c r="F316" i="19" s="1"/>
  <c r="A318" i="19" l="1"/>
  <c r="B318" i="19" s="1"/>
  <c r="C317" i="19"/>
  <c r="F317" i="19" s="1"/>
  <c r="A319" i="19" l="1"/>
  <c r="B319" i="19" s="1"/>
  <c r="C318" i="19"/>
  <c r="F318" i="19" s="1"/>
  <c r="A320" i="19" l="1"/>
  <c r="B320" i="19" s="1"/>
  <c r="C319" i="19"/>
  <c r="F319" i="19" s="1"/>
  <c r="A321" i="19" l="1"/>
  <c r="B321" i="19" s="1"/>
  <c r="C320" i="19"/>
  <c r="F320" i="19" s="1"/>
  <c r="A322" i="19" l="1"/>
  <c r="B322" i="19" s="1"/>
  <c r="C321" i="19"/>
  <c r="F321" i="19" s="1"/>
  <c r="A323" i="19" l="1"/>
  <c r="B323" i="19" s="1"/>
  <c r="C322" i="19"/>
  <c r="F322" i="19" s="1"/>
  <c r="A324" i="19" l="1"/>
  <c r="B324" i="19" s="1"/>
  <c r="C323" i="19"/>
  <c r="F323" i="19" s="1"/>
  <c r="A325" i="19" l="1"/>
  <c r="B325" i="19" s="1"/>
  <c r="C324" i="19"/>
  <c r="F324" i="19" s="1"/>
  <c r="A326" i="19" l="1"/>
  <c r="B326" i="19" s="1"/>
  <c r="C325" i="19"/>
  <c r="F325" i="19" s="1"/>
  <c r="A327" i="19" l="1"/>
  <c r="B327" i="19" s="1"/>
  <c r="C326" i="19"/>
  <c r="F326" i="19" s="1"/>
  <c r="A328" i="19" l="1"/>
  <c r="B328" i="19" s="1"/>
  <c r="C327" i="19"/>
  <c r="F327" i="19" s="1"/>
  <c r="A329" i="19" l="1"/>
  <c r="B329" i="19" s="1"/>
  <c r="C328" i="19"/>
  <c r="F328" i="19" s="1"/>
  <c r="A330" i="19" l="1"/>
  <c r="B330" i="19" s="1"/>
  <c r="C329" i="19"/>
  <c r="F329" i="19" s="1"/>
  <c r="A331" i="19" l="1"/>
  <c r="B331" i="19" s="1"/>
  <c r="C330" i="19"/>
  <c r="F330" i="19" s="1"/>
  <c r="A332" i="19" l="1"/>
  <c r="B332" i="19" s="1"/>
  <c r="C331" i="19"/>
  <c r="F331" i="19" s="1"/>
  <c r="A333" i="19" l="1"/>
  <c r="B333" i="19" s="1"/>
  <c r="C332" i="19"/>
  <c r="F332" i="19" s="1"/>
  <c r="A334" i="19" l="1"/>
  <c r="B334" i="19" s="1"/>
  <c r="C333" i="19"/>
  <c r="F333" i="19" s="1"/>
  <c r="A335" i="19" l="1"/>
  <c r="B335" i="19" s="1"/>
  <c r="C334" i="19"/>
  <c r="F334" i="19" s="1"/>
  <c r="A336" i="19" l="1"/>
  <c r="B336" i="19" s="1"/>
  <c r="C335" i="19"/>
  <c r="F335" i="19" s="1"/>
  <c r="A337" i="19" l="1"/>
  <c r="B337" i="19" s="1"/>
  <c r="C336" i="19"/>
  <c r="F336" i="19" s="1"/>
  <c r="A338" i="19" l="1"/>
  <c r="B338" i="19" s="1"/>
  <c r="C337" i="19"/>
  <c r="F337" i="19" s="1"/>
  <c r="A339" i="19" l="1"/>
  <c r="B339" i="19" s="1"/>
  <c r="C338" i="19"/>
  <c r="F338" i="19" s="1"/>
  <c r="A340" i="19" l="1"/>
  <c r="B340" i="19" s="1"/>
  <c r="C339" i="19"/>
  <c r="F339" i="19" s="1"/>
  <c r="A341" i="19" l="1"/>
  <c r="B341" i="19" s="1"/>
  <c r="C340" i="19"/>
  <c r="F340" i="19" s="1"/>
  <c r="A342" i="19" l="1"/>
  <c r="B342" i="19" s="1"/>
  <c r="C341" i="19"/>
  <c r="F341" i="19" s="1"/>
  <c r="A343" i="19" l="1"/>
  <c r="B343" i="19" s="1"/>
  <c r="C342" i="19"/>
  <c r="F342" i="19" s="1"/>
  <c r="A344" i="19" l="1"/>
  <c r="B344" i="19" s="1"/>
  <c r="C343" i="19"/>
  <c r="F343" i="19" s="1"/>
  <c r="A345" i="19" l="1"/>
  <c r="B345" i="19" s="1"/>
  <c r="C344" i="19"/>
  <c r="F344" i="19" s="1"/>
  <c r="A346" i="19" l="1"/>
  <c r="B346" i="19" s="1"/>
  <c r="C345" i="19"/>
  <c r="F345" i="19" s="1"/>
  <c r="A347" i="19" l="1"/>
  <c r="B347" i="19" s="1"/>
  <c r="C346" i="19"/>
  <c r="F346" i="19" s="1"/>
  <c r="A348" i="19" l="1"/>
  <c r="B348" i="19" s="1"/>
  <c r="C347" i="19"/>
  <c r="F347" i="19" s="1"/>
  <c r="A349" i="19" l="1"/>
  <c r="B349" i="19" s="1"/>
  <c r="C348" i="19"/>
  <c r="F348" i="19" s="1"/>
  <c r="A350" i="19" l="1"/>
  <c r="B350" i="19" s="1"/>
  <c r="C349" i="19"/>
  <c r="F349" i="19" s="1"/>
  <c r="A351" i="19" l="1"/>
  <c r="B351" i="19" s="1"/>
  <c r="C350" i="19"/>
  <c r="F350" i="19" s="1"/>
  <c r="A352" i="19" l="1"/>
  <c r="B352" i="19" s="1"/>
  <c r="C351" i="19"/>
  <c r="F351" i="19" s="1"/>
  <c r="A353" i="19" l="1"/>
  <c r="B353" i="19" s="1"/>
  <c r="C352" i="19"/>
  <c r="F352" i="19" s="1"/>
  <c r="A354" i="19" l="1"/>
  <c r="B354" i="19" s="1"/>
  <c r="C353" i="19"/>
  <c r="F353" i="19" s="1"/>
  <c r="A355" i="19" l="1"/>
  <c r="B355" i="19" s="1"/>
  <c r="C354" i="19"/>
  <c r="F354" i="19" s="1"/>
  <c r="A356" i="19" l="1"/>
  <c r="B356" i="19" s="1"/>
  <c r="C355" i="19"/>
  <c r="F355" i="19" s="1"/>
  <c r="A357" i="19" l="1"/>
  <c r="B357" i="19" s="1"/>
  <c r="C356" i="19"/>
  <c r="F356" i="19" s="1"/>
  <c r="A358" i="19" l="1"/>
  <c r="B358" i="19" s="1"/>
  <c r="C357" i="19"/>
  <c r="F357" i="19" s="1"/>
  <c r="A359" i="19" l="1"/>
  <c r="B359" i="19" s="1"/>
  <c r="C358" i="19"/>
  <c r="F358" i="19" s="1"/>
  <c r="A360" i="19" l="1"/>
  <c r="B360" i="19" s="1"/>
  <c r="C359" i="19"/>
  <c r="F359" i="19" s="1"/>
  <c r="A361" i="19" l="1"/>
  <c r="B361" i="19" s="1"/>
  <c r="C360" i="19"/>
  <c r="F360" i="19" s="1"/>
  <c r="A362" i="19" l="1"/>
  <c r="B362" i="19" s="1"/>
  <c r="C361" i="19"/>
  <c r="F361" i="19" s="1"/>
  <c r="A363" i="19" l="1"/>
  <c r="B363" i="19" s="1"/>
  <c r="C362" i="19"/>
  <c r="F362" i="19" s="1"/>
  <c r="A364" i="19" l="1"/>
  <c r="B364" i="19" s="1"/>
  <c r="C363" i="19"/>
  <c r="F363" i="19" s="1"/>
  <c r="A365" i="19" l="1"/>
  <c r="B365" i="19" s="1"/>
  <c r="C364" i="19"/>
  <c r="F364" i="19" s="1"/>
  <c r="A366" i="19" l="1"/>
  <c r="B366" i="19" s="1"/>
  <c r="C365" i="19"/>
  <c r="F365" i="19" s="1"/>
  <c r="A367" i="19" l="1"/>
  <c r="B367" i="19" s="1"/>
  <c r="C366" i="19"/>
  <c r="F366" i="19" s="1"/>
  <c r="A368" i="19" l="1"/>
  <c r="B368" i="19" s="1"/>
  <c r="C367" i="19"/>
  <c r="F367" i="19" s="1"/>
  <c r="A369" i="19" l="1"/>
  <c r="B369" i="19" s="1"/>
  <c r="C368" i="19"/>
  <c r="F368" i="19" s="1"/>
  <c r="A370" i="19" l="1"/>
  <c r="B370" i="19" s="1"/>
  <c r="C369" i="19"/>
  <c r="F369" i="19" s="1"/>
  <c r="A371" i="19" l="1"/>
  <c r="B371" i="19" s="1"/>
  <c r="C370" i="19"/>
  <c r="F370" i="19" s="1"/>
  <c r="A372" i="19" l="1"/>
  <c r="B372" i="19" s="1"/>
  <c r="C371" i="19"/>
  <c r="F371" i="19" s="1"/>
  <c r="A373" i="19" l="1"/>
  <c r="B373" i="19" s="1"/>
  <c r="C372" i="19"/>
  <c r="F372" i="19" s="1"/>
  <c r="A374" i="19" l="1"/>
  <c r="B374" i="19" s="1"/>
  <c r="C373" i="19"/>
  <c r="F373" i="19" s="1"/>
  <c r="A375" i="19" l="1"/>
  <c r="B375" i="19" s="1"/>
  <c r="C374" i="19"/>
  <c r="F374" i="19" s="1"/>
  <c r="A376" i="19" l="1"/>
  <c r="B376" i="19" s="1"/>
  <c r="C375" i="19"/>
  <c r="F375" i="19" s="1"/>
  <c r="A377" i="19" l="1"/>
  <c r="B377" i="19" s="1"/>
  <c r="C376" i="19"/>
  <c r="F376" i="19" s="1"/>
  <c r="A378" i="19" l="1"/>
  <c r="B378" i="19" s="1"/>
  <c r="C377" i="19"/>
  <c r="F377" i="19" s="1"/>
  <c r="A379" i="19" l="1"/>
  <c r="B379" i="19" s="1"/>
  <c r="C378" i="19"/>
  <c r="F378" i="19" s="1"/>
  <c r="A380" i="19" l="1"/>
  <c r="B380" i="19" s="1"/>
  <c r="C379" i="19"/>
  <c r="F379" i="19" s="1"/>
  <c r="A381" i="19" l="1"/>
  <c r="B381" i="19" s="1"/>
  <c r="C380" i="19"/>
  <c r="F380" i="19" s="1"/>
  <c r="A382" i="19" l="1"/>
  <c r="B382" i="19" s="1"/>
  <c r="C381" i="19"/>
  <c r="F381" i="19" s="1"/>
  <c r="A383" i="19" l="1"/>
  <c r="B383" i="19" s="1"/>
  <c r="C382" i="19"/>
  <c r="F382" i="19" s="1"/>
  <c r="A384" i="19" l="1"/>
  <c r="B384" i="19" s="1"/>
  <c r="C383" i="19"/>
  <c r="F383" i="19" s="1"/>
  <c r="A385" i="19" l="1"/>
  <c r="B385" i="19" s="1"/>
  <c r="C384" i="19"/>
  <c r="F384" i="19" s="1"/>
  <c r="A386" i="19" l="1"/>
  <c r="B386" i="19" s="1"/>
  <c r="C385" i="19"/>
  <c r="F385" i="19" s="1"/>
  <c r="A387" i="19" l="1"/>
  <c r="B387" i="19" s="1"/>
  <c r="C386" i="19"/>
  <c r="F386" i="19" s="1"/>
  <c r="A388" i="19" l="1"/>
  <c r="B388" i="19" s="1"/>
  <c r="C387" i="19"/>
  <c r="F387" i="19" s="1"/>
  <c r="A389" i="19" l="1"/>
  <c r="B389" i="19" s="1"/>
  <c r="C388" i="19"/>
  <c r="F388" i="19" s="1"/>
  <c r="A390" i="19" l="1"/>
  <c r="B390" i="19" s="1"/>
  <c r="C389" i="19"/>
  <c r="F389" i="19" s="1"/>
  <c r="A391" i="19" l="1"/>
  <c r="B391" i="19" s="1"/>
  <c r="C390" i="19"/>
  <c r="F390" i="19" s="1"/>
  <c r="A392" i="19" l="1"/>
  <c r="B392" i="19" s="1"/>
  <c r="C391" i="19"/>
  <c r="F391" i="19" s="1"/>
  <c r="A393" i="19" l="1"/>
  <c r="B393" i="19" s="1"/>
  <c r="C392" i="19"/>
  <c r="F392" i="19" s="1"/>
  <c r="A394" i="19" l="1"/>
  <c r="B394" i="19" s="1"/>
  <c r="C393" i="19"/>
  <c r="F393" i="19" s="1"/>
  <c r="A395" i="19" l="1"/>
  <c r="B395" i="19" s="1"/>
  <c r="C394" i="19"/>
  <c r="F394" i="19" s="1"/>
  <c r="A396" i="19" l="1"/>
  <c r="B396" i="19" s="1"/>
  <c r="C395" i="19"/>
  <c r="F395" i="19" s="1"/>
  <c r="A397" i="19" l="1"/>
  <c r="B397" i="19" s="1"/>
  <c r="C396" i="19"/>
  <c r="F396" i="19" s="1"/>
  <c r="A398" i="19" l="1"/>
  <c r="B398" i="19" s="1"/>
  <c r="C397" i="19"/>
  <c r="F397" i="19" s="1"/>
  <c r="A399" i="19" l="1"/>
  <c r="B399" i="19" s="1"/>
  <c r="C398" i="19"/>
  <c r="F398" i="19" s="1"/>
  <c r="A400" i="19" l="1"/>
  <c r="B400" i="19" s="1"/>
  <c r="C399" i="19"/>
  <c r="F399" i="19" s="1"/>
  <c r="A401" i="19" l="1"/>
  <c r="B401" i="19" s="1"/>
  <c r="C400" i="19"/>
  <c r="F400" i="19" s="1"/>
  <c r="A402" i="19" l="1"/>
  <c r="B402" i="19" s="1"/>
  <c r="C401" i="19"/>
  <c r="F401" i="19" s="1"/>
  <c r="A403" i="19" l="1"/>
  <c r="B403" i="19" s="1"/>
  <c r="C402" i="19"/>
  <c r="F402" i="19" s="1"/>
  <c r="A404" i="19" l="1"/>
  <c r="B404" i="19" s="1"/>
  <c r="C403" i="19"/>
  <c r="F403" i="19" s="1"/>
  <c r="A405" i="19" l="1"/>
  <c r="B405" i="19" s="1"/>
  <c r="C404" i="19"/>
  <c r="F404" i="19" s="1"/>
  <c r="A406" i="19" l="1"/>
  <c r="C405" i="19"/>
  <c r="F405" i="19" s="1"/>
  <c r="C406" i="19" l="1"/>
  <c r="F406" i="19" s="1"/>
  <c r="A407" i="19"/>
  <c r="B406" i="19"/>
  <c r="C407" i="19" l="1"/>
  <c r="F407" i="19" s="1"/>
  <c r="B407" i="19"/>
  <c r="A408" i="19"/>
  <c r="B408" i="19" l="1"/>
  <c r="A409" i="19"/>
  <c r="C408" i="19"/>
  <c r="F408" i="19" s="1"/>
  <c r="C409" i="19" l="1"/>
  <c r="F409" i="19" s="1"/>
  <c r="B409" i="19"/>
  <c r="A410" i="19"/>
  <c r="B410" i="19" l="1"/>
  <c r="A411" i="19"/>
  <c r="C410" i="19"/>
  <c r="F410" i="19" s="1"/>
  <c r="C411" i="19" l="1"/>
  <c r="F411" i="19" s="1"/>
  <c r="B411" i="19"/>
  <c r="A412" i="19"/>
  <c r="B412" i="19" l="1"/>
  <c r="A413" i="19"/>
  <c r="C412" i="19"/>
  <c r="F412" i="19" s="1"/>
  <c r="C413" i="19" l="1"/>
  <c r="F413" i="19" s="1"/>
  <c r="B413" i="19"/>
  <c r="A414" i="19"/>
  <c r="B414" i="19" l="1"/>
  <c r="A415" i="19"/>
  <c r="C414" i="19"/>
  <c r="F414" i="19" s="1"/>
  <c r="C415" i="19" l="1"/>
  <c r="F415" i="19" s="1"/>
  <c r="B415" i="19"/>
  <c r="A416" i="19"/>
  <c r="B416" i="19" l="1"/>
  <c r="A417" i="19"/>
  <c r="C416" i="19"/>
  <c r="F416" i="19" s="1"/>
  <c r="C417" i="19" l="1"/>
  <c r="F417" i="19" s="1"/>
  <c r="B417" i="19"/>
  <c r="A418" i="19"/>
  <c r="B418" i="19" l="1"/>
  <c r="A419" i="19"/>
  <c r="C418" i="19"/>
  <c r="F418" i="19" s="1"/>
  <c r="C419" i="19" l="1"/>
  <c r="F419" i="19" s="1"/>
  <c r="B419" i="19"/>
  <c r="A420" i="19"/>
  <c r="B420" i="19" l="1"/>
  <c r="A421" i="19"/>
  <c r="C420" i="19"/>
  <c r="F420" i="19" s="1"/>
  <c r="C421" i="19" l="1"/>
  <c r="F421" i="19" s="1"/>
  <c r="B421" i="19"/>
  <c r="A422" i="19"/>
  <c r="B422" i="19" l="1"/>
  <c r="A423" i="19"/>
  <c r="C422" i="19"/>
  <c r="F422" i="19" s="1"/>
  <c r="C423" i="19" l="1"/>
  <c r="F423" i="19" s="1"/>
  <c r="B423" i="19"/>
  <c r="A424" i="19"/>
  <c r="B424" i="19" l="1"/>
  <c r="A425" i="19"/>
  <c r="C424" i="19"/>
  <c r="F424" i="19" s="1"/>
  <c r="C425" i="19" l="1"/>
  <c r="F425" i="19" s="1"/>
  <c r="B425" i="19"/>
  <c r="A426" i="19"/>
  <c r="B426" i="19" l="1"/>
  <c r="A427" i="19"/>
  <c r="C426" i="19"/>
  <c r="F426" i="19" s="1"/>
  <c r="C427" i="19" l="1"/>
  <c r="F427" i="19" s="1"/>
  <c r="B427" i="19"/>
  <c r="A428" i="19"/>
  <c r="B428" i="19" l="1"/>
  <c r="A429" i="19"/>
  <c r="C428" i="19"/>
  <c r="F428" i="19" s="1"/>
  <c r="C429" i="19" l="1"/>
  <c r="F429" i="19" s="1"/>
  <c r="B429" i="19"/>
  <c r="A430" i="19"/>
  <c r="B430" i="19" l="1"/>
  <c r="A431" i="19"/>
  <c r="C430" i="19"/>
  <c r="F430" i="19" s="1"/>
  <c r="C431" i="19" l="1"/>
  <c r="F431" i="19" s="1"/>
  <c r="B431" i="19"/>
  <c r="A432" i="19"/>
  <c r="B432" i="19" l="1"/>
  <c r="A433" i="19"/>
  <c r="C432" i="19"/>
  <c r="F432" i="19" s="1"/>
  <c r="C433" i="19" l="1"/>
  <c r="F433" i="19" s="1"/>
  <c r="B433" i="19"/>
  <c r="A434" i="19"/>
  <c r="B434" i="19" l="1"/>
  <c r="A435" i="19"/>
  <c r="C434" i="19"/>
  <c r="F434" i="19" s="1"/>
  <c r="C435" i="19" l="1"/>
  <c r="F435" i="19" s="1"/>
  <c r="B435" i="19"/>
  <c r="A436" i="19"/>
  <c r="B436" i="19" l="1"/>
  <c r="A437" i="19"/>
  <c r="C436" i="19"/>
  <c r="F436" i="19" s="1"/>
  <c r="C437" i="19" l="1"/>
  <c r="F437" i="19" s="1"/>
  <c r="B437" i="19"/>
  <c r="A438" i="19"/>
  <c r="B438" i="19" l="1"/>
  <c r="A439" i="19"/>
  <c r="C438" i="19"/>
  <c r="F438" i="19" s="1"/>
  <c r="C439" i="19" l="1"/>
  <c r="F439" i="19" s="1"/>
  <c r="B439" i="19"/>
  <c r="A440" i="19"/>
  <c r="B440" i="19" l="1"/>
  <c r="A441" i="19"/>
  <c r="C440" i="19"/>
  <c r="F440" i="19" s="1"/>
  <c r="C441" i="19" l="1"/>
  <c r="F441" i="19" s="1"/>
  <c r="B441" i="19"/>
  <c r="A442" i="19"/>
  <c r="B442" i="19" l="1"/>
  <c r="A443" i="19"/>
  <c r="C442" i="19"/>
  <c r="F442" i="19" s="1"/>
  <c r="C443" i="19" l="1"/>
  <c r="F443" i="19" s="1"/>
  <c r="B443" i="19"/>
  <c r="A444" i="19"/>
  <c r="B444" i="19" l="1"/>
  <c r="A445" i="19"/>
  <c r="C444" i="19"/>
  <c r="F444" i="19" s="1"/>
  <c r="C445" i="19" l="1"/>
  <c r="F445" i="19" s="1"/>
  <c r="B445" i="19"/>
  <c r="A446" i="19"/>
  <c r="B446" i="19" l="1"/>
  <c r="A447" i="19"/>
  <c r="C446" i="19"/>
  <c r="F446" i="19" s="1"/>
  <c r="C447" i="19" l="1"/>
  <c r="F447" i="19" s="1"/>
  <c r="B447" i="19"/>
  <c r="A448" i="19"/>
  <c r="B448" i="19" l="1"/>
  <c r="A449" i="19"/>
  <c r="C448" i="19"/>
  <c r="F448" i="19" s="1"/>
  <c r="C449" i="19" l="1"/>
  <c r="F449" i="19" s="1"/>
  <c r="B449" i="19"/>
  <c r="A450" i="19"/>
  <c r="B450" i="19" l="1"/>
  <c r="A451" i="19"/>
  <c r="C450" i="19"/>
  <c r="F450" i="19" s="1"/>
  <c r="C451" i="19" l="1"/>
  <c r="F451" i="19" s="1"/>
  <c r="B451" i="19"/>
  <c r="A452" i="19"/>
  <c r="B452" i="19" l="1"/>
  <c r="A453" i="19"/>
  <c r="C452" i="19"/>
  <c r="F452" i="19" s="1"/>
  <c r="C453" i="19" l="1"/>
  <c r="F453" i="19" s="1"/>
  <c r="B453" i="19"/>
  <c r="A454" i="19"/>
  <c r="B454" i="19" l="1"/>
  <c r="A455" i="19"/>
  <c r="C454" i="19"/>
  <c r="F454" i="19" s="1"/>
  <c r="C455" i="19" l="1"/>
  <c r="F455" i="19" s="1"/>
  <c r="B455" i="19"/>
  <c r="A456" i="19"/>
  <c r="B456" i="19" l="1"/>
  <c r="A457" i="19"/>
  <c r="C456" i="19"/>
  <c r="F456" i="19" s="1"/>
  <c r="C457" i="19" l="1"/>
  <c r="F457" i="19" s="1"/>
  <c r="B457" i="19"/>
  <c r="A458" i="19"/>
  <c r="B458" i="19" l="1"/>
  <c r="A459" i="19"/>
  <c r="C458" i="19"/>
  <c r="F458" i="19" s="1"/>
  <c r="C459" i="19" l="1"/>
  <c r="F459" i="19" s="1"/>
  <c r="B459" i="19"/>
  <c r="A460" i="19"/>
  <c r="B460" i="19" l="1"/>
  <c r="A461" i="19"/>
  <c r="C460" i="19"/>
  <c r="F460" i="19" s="1"/>
  <c r="C461" i="19" l="1"/>
  <c r="F461" i="19" s="1"/>
  <c r="B461" i="19"/>
  <c r="A462" i="19"/>
  <c r="B462" i="19" l="1"/>
  <c r="A463" i="19"/>
  <c r="C462" i="19"/>
  <c r="F462" i="19" s="1"/>
  <c r="C463" i="19" l="1"/>
  <c r="F463" i="19" s="1"/>
  <c r="B463" i="19"/>
  <c r="A464" i="19"/>
  <c r="B464" i="19" l="1"/>
  <c r="A465" i="19"/>
  <c r="C464" i="19"/>
  <c r="F464" i="19" s="1"/>
  <c r="C465" i="19" l="1"/>
  <c r="F465" i="19" s="1"/>
  <c r="B465" i="19"/>
  <c r="A466" i="19"/>
  <c r="B466" i="19" l="1"/>
  <c r="A467" i="19"/>
  <c r="C466" i="19"/>
  <c r="F466" i="19" s="1"/>
  <c r="C467" i="19" l="1"/>
  <c r="F467" i="19" s="1"/>
  <c r="B467" i="19"/>
  <c r="A468" i="19"/>
  <c r="B468" i="19" l="1"/>
  <c r="A469" i="19"/>
  <c r="C468" i="19"/>
  <c r="F468" i="19" s="1"/>
  <c r="C469" i="19" l="1"/>
  <c r="F469" i="19" s="1"/>
  <c r="B469" i="19"/>
  <c r="A470" i="19"/>
  <c r="B470" i="19" l="1"/>
  <c r="A471" i="19"/>
  <c r="C470" i="19"/>
  <c r="F470" i="19" s="1"/>
  <c r="C471" i="19" l="1"/>
  <c r="F471" i="19" s="1"/>
  <c r="B471" i="19"/>
  <c r="A472" i="19"/>
  <c r="B472" i="19" l="1"/>
  <c r="A473" i="19"/>
  <c r="C472" i="19"/>
  <c r="F472" i="19" s="1"/>
  <c r="C473" i="19" l="1"/>
  <c r="F473" i="19" s="1"/>
  <c r="B473" i="19"/>
  <c r="A474" i="19"/>
  <c r="B474" i="19" l="1"/>
  <c r="A475" i="19"/>
  <c r="C474" i="19"/>
  <c r="F474" i="19" s="1"/>
  <c r="C475" i="19" l="1"/>
  <c r="F475" i="19" s="1"/>
  <c r="B475" i="19"/>
  <c r="A476" i="19"/>
  <c r="B476" i="19" l="1"/>
  <c r="A477" i="19"/>
  <c r="C476" i="19"/>
  <c r="F476" i="19" s="1"/>
  <c r="C477" i="19" l="1"/>
  <c r="F477" i="19" s="1"/>
  <c r="B477" i="19"/>
  <c r="A478" i="19"/>
  <c r="B478" i="19" l="1"/>
  <c r="A479" i="19"/>
  <c r="C478" i="19"/>
  <c r="F478" i="19" s="1"/>
  <c r="C479" i="19" l="1"/>
  <c r="F479" i="19" s="1"/>
  <c r="B479" i="19"/>
  <c r="A480" i="19"/>
  <c r="B480" i="19" l="1"/>
  <c r="A481" i="19"/>
  <c r="C480" i="19"/>
  <c r="F480" i="19" s="1"/>
  <c r="C481" i="19" l="1"/>
  <c r="F481" i="19" s="1"/>
  <c r="B481" i="19"/>
  <c r="A482" i="19"/>
  <c r="A483" i="19" l="1"/>
  <c r="B482" i="19"/>
  <c r="C482" i="19"/>
  <c r="F482" i="19" s="1"/>
  <c r="B483" i="19" l="1"/>
  <c r="A484" i="19"/>
  <c r="C483" i="19"/>
  <c r="F483" i="19" s="1"/>
  <c r="C484" i="19" l="1"/>
  <c r="F484" i="19" s="1"/>
  <c r="A485" i="19"/>
  <c r="B484" i="19"/>
  <c r="B485" i="19" l="1"/>
  <c r="A486" i="19"/>
  <c r="C485" i="19"/>
  <c r="F485" i="19" s="1"/>
  <c r="C486" i="19" l="1"/>
  <c r="F486" i="19" s="1"/>
  <c r="B486" i="19"/>
  <c r="A487" i="19"/>
  <c r="B487" i="19" l="1"/>
  <c r="A488" i="19"/>
  <c r="C487" i="19"/>
  <c r="F487" i="19" s="1"/>
  <c r="C488" i="19" l="1"/>
  <c r="F488" i="19" s="1"/>
  <c r="A489" i="19"/>
  <c r="B488" i="19"/>
  <c r="B489" i="19" l="1"/>
  <c r="A490" i="19"/>
  <c r="C489" i="19"/>
  <c r="F489" i="19" s="1"/>
  <c r="C490" i="19" l="1"/>
  <c r="F490" i="19" s="1"/>
  <c r="B490" i="19"/>
  <c r="A491" i="19"/>
  <c r="B491" i="19" l="1"/>
  <c r="A492" i="19"/>
  <c r="C491" i="19"/>
  <c r="F491" i="19" s="1"/>
  <c r="C492" i="19" l="1"/>
  <c r="F492" i="19" s="1"/>
  <c r="A493" i="19"/>
  <c r="B492" i="19"/>
  <c r="B493" i="19" l="1"/>
  <c r="A494" i="19"/>
  <c r="C493" i="19"/>
  <c r="F493" i="19" s="1"/>
  <c r="C494" i="19" l="1"/>
  <c r="F494" i="19" s="1"/>
  <c r="B494" i="19"/>
  <c r="A495" i="19"/>
  <c r="B495" i="19" l="1"/>
  <c r="A496" i="19"/>
  <c r="C495" i="19"/>
  <c r="F495" i="19" s="1"/>
  <c r="C496" i="19" l="1"/>
  <c r="F496" i="19" s="1"/>
  <c r="A497" i="19"/>
  <c r="B496" i="19"/>
  <c r="B497" i="19" l="1"/>
  <c r="A498" i="19"/>
  <c r="C497" i="19"/>
  <c r="F497" i="19" s="1"/>
  <c r="C498" i="19" l="1"/>
  <c r="F498" i="19" s="1"/>
  <c r="B498" i="19"/>
  <c r="A499" i="19"/>
  <c r="B499" i="19" l="1"/>
  <c r="A500" i="19"/>
  <c r="C499" i="19"/>
  <c r="F499" i="19" s="1"/>
  <c r="C500" i="19" l="1"/>
  <c r="F500" i="19" s="1"/>
  <c r="A501" i="19"/>
  <c r="B500" i="19"/>
  <c r="B501" i="19" l="1"/>
  <c r="A502" i="19"/>
  <c r="C501" i="19"/>
  <c r="F501" i="19" s="1"/>
  <c r="C502" i="19" l="1"/>
  <c r="F502" i="19" s="1"/>
  <c r="B502" i="19"/>
  <c r="A503" i="19"/>
  <c r="B503" i="19" l="1"/>
  <c r="A504" i="19"/>
  <c r="C503" i="19"/>
  <c r="F503" i="19" s="1"/>
  <c r="C504" i="19" l="1"/>
  <c r="F504" i="19" s="1"/>
  <c r="A505" i="19"/>
  <c r="B504" i="19"/>
  <c r="B505" i="19" l="1"/>
  <c r="A506" i="19"/>
  <c r="C505" i="19"/>
  <c r="F505" i="19" s="1"/>
  <c r="C506" i="19" l="1"/>
  <c r="F506" i="19" s="1"/>
  <c r="B506" i="19"/>
  <c r="A507" i="19"/>
  <c r="B507" i="19" l="1"/>
  <c r="A508" i="19"/>
  <c r="C507" i="19"/>
  <c r="F507" i="19" s="1"/>
  <c r="C508" i="19" l="1"/>
  <c r="F508" i="19" s="1"/>
  <c r="A509" i="19"/>
  <c r="B508" i="19"/>
  <c r="B509" i="19" l="1"/>
  <c r="A510" i="19"/>
  <c r="C509" i="19"/>
  <c r="F509" i="19" s="1"/>
  <c r="C510" i="19" l="1"/>
  <c r="F510" i="19" s="1"/>
  <c r="B510" i="19"/>
  <c r="A511" i="19"/>
  <c r="B511" i="19" l="1"/>
  <c r="A512" i="19"/>
  <c r="C511" i="19"/>
  <c r="F511" i="19" s="1"/>
  <c r="C512" i="19" l="1"/>
  <c r="F512" i="19" s="1"/>
  <c r="A513" i="19"/>
  <c r="B512" i="19"/>
  <c r="B513" i="19" l="1"/>
  <c r="A514" i="19"/>
  <c r="C513" i="19"/>
  <c r="F513" i="19" s="1"/>
  <c r="C514" i="19" l="1"/>
  <c r="F514" i="19" s="1"/>
  <c r="B514" i="19"/>
  <c r="A515" i="19"/>
  <c r="B515" i="19" l="1"/>
  <c r="A516" i="19"/>
  <c r="C515" i="19"/>
  <c r="F515" i="19" s="1"/>
  <c r="C516" i="19" l="1"/>
  <c r="F516" i="19" s="1"/>
  <c r="A517" i="19"/>
  <c r="B516" i="19"/>
  <c r="B517" i="19" l="1"/>
  <c r="A518" i="19"/>
  <c r="C517" i="19"/>
  <c r="F517" i="19" s="1"/>
  <c r="C518" i="19" l="1"/>
  <c r="F518" i="19" s="1"/>
  <c r="B518" i="19"/>
  <c r="A519" i="19"/>
  <c r="B519" i="19" l="1"/>
  <c r="A520" i="19"/>
  <c r="C519" i="19"/>
  <c r="F519" i="19" s="1"/>
  <c r="C520" i="19" l="1"/>
  <c r="F520" i="19" s="1"/>
  <c r="A521" i="19"/>
  <c r="B520" i="19"/>
  <c r="B521" i="19" l="1"/>
  <c r="A522" i="19"/>
  <c r="C521" i="19"/>
  <c r="F521" i="19" s="1"/>
  <c r="C522" i="19" l="1"/>
  <c r="F522" i="19" s="1"/>
  <c r="B522" i="19"/>
  <c r="A523" i="19"/>
  <c r="B523" i="19" l="1"/>
  <c r="A524" i="19"/>
  <c r="C523" i="19"/>
  <c r="F523" i="19" s="1"/>
  <c r="C524" i="19" l="1"/>
  <c r="F524" i="19" s="1"/>
  <c r="A525" i="19"/>
  <c r="B524" i="19"/>
  <c r="B525" i="19" l="1"/>
  <c r="A526" i="19"/>
  <c r="C525" i="19"/>
  <c r="F525" i="19" s="1"/>
  <c r="C526" i="19" l="1"/>
  <c r="F526" i="19" s="1"/>
  <c r="B526" i="19"/>
  <c r="A527" i="19"/>
  <c r="B527" i="19" l="1"/>
  <c r="A528" i="19"/>
  <c r="C527" i="19"/>
  <c r="F527" i="19" s="1"/>
  <c r="C528" i="19" l="1"/>
  <c r="F528" i="19" s="1"/>
  <c r="A529" i="19"/>
  <c r="B528" i="19"/>
  <c r="B529" i="19" l="1"/>
  <c r="A530" i="19"/>
  <c r="C529" i="19"/>
  <c r="F529" i="19" s="1"/>
  <c r="C530" i="19" l="1"/>
  <c r="F530" i="19" s="1"/>
  <c r="B530" i="19"/>
  <c r="A531" i="19"/>
  <c r="B531" i="19" l="1"/>
  <c r="A532" i="19"/>
  <c r="C531" i="19"/>
  <c r="F531" i="19" s="1"/>
  <c r="C532" i="19" l="1"/>
  <c r="F532" i="19" s="1"/>
  <c r="A533" i="19"/>
  <c r="B532" i="19"/>
  <c r="B533" i="19" l="1"/>
  <c r="A534" i="19"/>
  <c r="C533" i="19"/>
  <c r="F533" i="19" s="1"/>
  <c r="C534" i="19" l="1"/>
  <c r="F534" i="19" s="1"/>
  <c r="B534" i="19"/>
  <c r="A535" i="19"/>
  <c r="B535" i="19" l="1"/>
  <c r="A536" i="19"/>
  <c r="C535" i="19"/>
  <c r="F535" i="19" s="1"/>
  <c r="C536" i="19" l="1"/>
  <c r="F536" i="19" s="1"/>
  <c r="B536" i="19"/>
  <c r="A537" i="19"/>
  <c r="B537" i="19" l="1"/>
  <c r="A538" i="19"/>
  <c r="C537" i="19"/>
  <c r="F537" i="19" s="1"/>
  <c r="C538" i="19" l="1"/>
  <c r="F538" i="19" s="1"/>
  <c r="A539" i="19"/>
  <c r="B538" i="19"/>
  <c r="B539" i="19" l="1"/>
  <c r="A540" i="19"/>
  <c r="C539" i="19"/>
  <c r="F539" i="19" s="1"/>
  <c r="C540" i="19" l="1"/>
  <c r="F540" i="19" s="1"/>
  <c r="B540" i="19"/>
  <c r="A541" i="19"/>
  <c r="B541" i="19" l="1"/>
  <c r="A542" i="19"/>
  <c r="C541" i="19"/>
  <c r="F541" i="19" s="1"/>
  <c r="C542" i="19" l="1"/>
  <c r="F542" i="19" s="1"/>
  <c r="A543" i="19"/>
  <c r="B542" i="19"/>
  <c r="B543" i="19" l="1"/>
  <c r="A544" i="19"/>
  <c r="C543" i="19"/>
  <c r="F543" i="19" s="1"/>
  <c r="C544" i="19" l="1"/>
  <c r="F544" i="19" s="1"/>
  <c r="B544" i="19"/>
  <c r="A545" i="19"/>
  <c r="B545" i="19" l="1"/>
  <c r="A546" i="19"/>
  <c r="C545" i="19"/>
  <c r="F545" i="19" s="1"/>
  <c r="C546" i="19" l="1"/>
  <c r="F546" i="19" s="1"/>
  <c r="A547" i="19"/>
  <c r="B546" i="19"/>
  <c r="B547" i="19" l="1"/>
  <c r="A548" i="19"/>
  <c r="C547" i="19"/>
  <c r="F547" i="19" s="1"/>
  <c r="C548" i="19" l="1"/>
  <c r="F548" i="19" s="1"/>
  <c r="B548" i="19"/>
  <c r="A549" i="19"/>
  <c r="B549" i="19" l="1"/>
  <c r="A550" i="19"/>
  <c r="C549" i="19"/>
  <c r="F549" i="19" s="1"/>
  <c r="C550" i="19" l="1"/>
  <c r="F550" i="19" s="1"/>
  <c r="A551" i="19"/>
  <c r="B550" i="19"/>
  <c r="B551" i="19" l="1"/>
  <c r="A552" i="19"/>
  <c r="C551" i="19"/>
  <c r="F551" i="19" s="1"/>
  <c r="C552" i="19" l="1"/>
  <c r="F552" i="19" s="1"/>
  <c r="B552" i="19"/>
  <c r="A553" i="19"/>
  <c r="B553" i="19" l="1"/>
  <c r="A554" i="19"/>
  <c r="C553" i="19"/>
  <c r="F553" i="19" s="1"/>
  <c r="C554" i="19" l="1"/>
  <c r="F554" i="19" s="1"/>
  <c r="A555" i="19"/>
  <c r="B554" i="19"/>
  <c r="B555" i="19" l="1"/>
  <c r="A556" i="19"/>
  <c r="C555" i="19"/>
  <c r="F555" i="19" s="1"/>
  <c r="C556" i="19" l="1"/>
  <c r="F556" i="19" s="1"/>
  <c r="B556" i="19"/>
  <c r="A557" i="19"/>
  <c r="B557" i="19" l="1"/>
  <c r="A558" i="19"/>
  <c r="C557" i="19"/>
  <c r="F557" i="19" s="1"/>
  <c r="C558" i="19" l="1"/>
  <c r="F558" i="19" s="1"/>
  <c r="A559" i="19"/>
  <c r="B558" i="19"/>
  <c r="B559" i="19" l="1"/>
  <c r="A560" i="19"/>
  <c r="C559" i="19"/>
  <c r="F559" i="19" s="1"/>
  <c r="C560" i="19" l="1"/>
  <c r="F560" i="19" s="1"/>
  <c r="B560" i="19"/>
  <c r="A561" i="19"/>
  <c r="B561" i="19" l="1"/>
  <c r="A562" i="19"/>
  <c r="C561" i="19"/>
  <c r="F561" i="19" s="1"/>
  <c r="C562" i="19" l="1"/>
  <c r="F562" i="19" s="1"/>
  <c r="A563" i="19"/>
  <c r="B562" i="19"/>
  <c r="B563" i="19" l="1"/>
  <c r="A564" i="19"/>
  <c r="C563" i="19"/>
  <c r="F563" i="19" s="1"/>
  <c r="C564" i="19" l="1"/>
  <c r="F564" i="19" s="1"/>
  <c r="B564" i="19"/>
  <c r="A565" i="19"/>
  <c r="B565" i="19" l="1"/>
  <c r="A566" i="19"/>
  <c r="C565" i="19"/>
  <c r="F565" i="19" s="1"/>
  <c r="C566" i="19" l="1"/>
  <c r="F566" i="19" s="1"/>
  <c r="A567" i="19"/>
  <c r="B566" i="19"/>
  <c r="B567" i="19" l="1"/>
  <c r="A568" i="19"/>
  <c r="C567" i="19"/>
  <c r="F567" i="19" s="1"/>
  <c r="C568" i="19" l="1"/>
  <c r="F568" i="19" s="1"/>
  <c r="B568" i="19"/>
  <c r="A569" i="19"/>
  <c r="B569" i="19" l="1"/>
  <c r="A570" i="19"/>
  <c r="C569" i="19"/>
  <c r="F569" i="19" s="1"/>
  <c r="C570" i="19" l="1"/>
  <c r="F570" i="19" s="1"/>
  <c r="A571" i="19"/>
  <c r="B570" i="19"/>
  <c r="B571" i="19" l="1"/>
  <c r="A572" i="19"/>
  <c r="C571" i="19"/>
  <c r="F571" i="19" s="1"/>
  <c r="C572" i="19" l="1"/>
  <c r="F572" i="19" s="1"/>
  <c r="B572" i="19"/>
  <c r="A573" i="19"/>
  <c r="B573" i="19" l="1"/>
  <c r="A574" i="19"/>
  <c r="C573" i="19"/>
  <c r="F573" i="19" s="1"/>
  <c r="C574" i="19" l="1"/>
  <c r="F574" i="19" s="1"/>
  <c r="A575" i="19"/>
  <c r="B574" i="19"/>
  <c r="B575" i="19" l="1"/>
  <c r="A576" i="19"/>
  <c r="C575" i="19"/>
  <c r="F575" i="19" s="1"/>
  <c r="C576" i="19" l="1"/>
  <c r="F576" i="19" s="1"/>
  <c r="B576" i="19"/>
  <c r="A577" i="19"/>
  <c r="B577" i="19" l="1"/>
  <c r="A578" i="19"/>
  <c r="C577" i="19"/>
  <c r="F577" i="19" s="1"/>
  <c r="C578" i="19" l="1"/>
  <c r="F578" i="19" s="1"/>
  <c r="A579" i="19"/>
  <c r="B578" i="19"/>
  <c r="B579" i="19" l="1"/>
  <c r="A580" i="19"/>
  <c r="C579" i="19"/>
  <c r="F579" i="19" s="1"/>
  <c r="C580" i="19" l="1"/>
  <c r="F580" i="19" s="1"/>
  <c r="B580" i="19"/>
  <c r="A581" i="19"/>
  <c r="B581" i="19" l="1"/>
  <c r="A582" i="19"/>
  <c r="C581" i="19"/>
  <c r="F581" i="19" s="1"/>
  <c r="C582" i="19" l="1"/>
  <c r="F582" i="19" s="1"/>
  <c r="A583" i="19"/>
  <c r="B582" i="19"/>
  <c r="B583" i="19" l="1"/>
  <c r="A584" i="19"/>
  <c r="C583" i="19"/>
  <c r="F583" i="19" s="1"/>
  <c r="C584" i="19" l="1"/>
  <c r="F584" i="19" s="1"/>
  <c r="B584" i="19"/>
  <c r="A585" i="19"/>
  <c r="B585" i="19" l="1"/>
  <c r="A586" i="19"/>
  <c r="C585" i="19"/>
  <c r="F585" i="19" s="1"/>
  <c r="C586" i="19" l="1"/>
  <c r="F586" i="19" s="1"/>
  <c r="A587" i="19"/>
  <c r="B586" i="19"/>
  <c r="B587" i="19" l="1"/>
  <c r="A588" i="19"/>
  <c r="C587" i="19"/>
  <c r="F587" i="19" s="1"/>
  <c r="C588" i="19" l="1"/>
  <c r="F588" i="19" s="1"/>
  <c r="B588" i="19"/>
  <c r="A589" i="19"/>
  <c r="B589" i="19" l="1"/>
  <c r="A590" i="19"/>
  <c r="C589" i="19"/>
  <c r="F589" i="19" s="1"/>
  <c r="C590" i="19" l="1"/>
  <c r="F590" i="19" s="1"/>
  <c r="A591" i="19"/>
  <c r="B590" i="19"/>
  <c r="B591" i="19" l="1"/>
  <c r="A592" i="19"/>
  <c r="C591" i="19"/>
  <c r="F591" i="19" s="1"/>
  <c r="C592" i="19" l="1"/>
  <c r="F592" i="19" s="1"/>
  <c r="B592" i="19"/>
  <c r="A593" i="19"/>
  <c r="B593" i="19" l="1"/>
  <c r="A594" i="19"/>
  <c r="C593" i="19"/>
  <c r="F593" i="19" s="1"/>
  <c r="C594" i="19" l="1"/>
  <c r="F594" i="19" s="1"/>
  <c r="A595" i="19"/>
  <c r="B594" i="19"/>
  <c r="B595" i="19" l="1"/>
  <c r="A596" i="19"/>
  <c r="C595" i="19"/>
  <c r="F595" i="19" s="1"/>
  <c r="C596" i="19" l="1"/>
  <c r="F596" i="19" s="1"/>
  <c r="B596" i="19"/>
  <c r="A597" i="19"/>
  <c r="B597" i="19" l="1"/>
  <c r="A598" i="19"/>
  <c r="C597" i="19"/>
  <c r="F597" i="19" s="1"/>
  <c r="C598" i="19" l="1"/>
  <c r="F598" i="19" s="1"/>
  <c r="A599" i="19"/>
  <c r="B598" i="19"/>
  <c r="B599" i="19" l="1"/>
  <c r="A600" i="19"/>
  <c r="C599" i="19"/>
  <c r="F599" i="19" s="1"/>
  <c r="C600" i="19" l="1"/>
  <c r="F600" i="19" s="1"/>
  <c r="B600" i="19"/>
  <c r="A601" i="19"/>
  <c r="B601" i="19" l="1"/>
  <c r="A602" i="19"/>
  <c r="C601" i="19"/>
  <c r="F601" i="19" s="1"/>
  <c r="C602" i="19" l="1"/>
  <c r="F602" i="19" s="1"/>
  <c r="A603" i="19"/>
  <c r="B602" i="19"/>
  <c r="B603" i="19" l="1"/>
  <c r="A604" i="19"/>
  <c r="C603" i="19"/>
  <c r="F603" i="19" s="1"/>
  <c r="C604" i="19" l="1"/>
  <c r="F604" i="19" s="1"/>
  <c r="B604" i="19"/>
  <c r="A605" i="19"/>
  <c r="B605" i="19" l="1"/>
  <c r="A606" i="19"/>
  <c r="C605" i="19"/>
  <c r="F605" i="19" s="1"/>
  <c r="C606" i="19" l="1"/>
  <c r="F606" i="19" s="1"/>
  <c r="A607" i="19"/>
  <c r="B606" i="19"/>
  <c r="B607" i="19" l="1"/>
  <c r="A608" i="19"/>
  <c r="C607" i="19"/>
  <c r="F607" i="19" s="1"/>
  <c r="C608" i="19" l="1"/>
  <c r="F608" i="19" s="1"/>
  <c r="B608" i="19"/>
  <c r="A609" i="19"/>
  <c r="B609" i="19" l="1"/>
  <c r="A610" i="19"/>
  <c r="C609" i="19"/>
  <c r="F609" i="19" s="1"/>
  <c r="C610" i="19" l="1"/>
  <c r="F610" i="19" s="1"/>
  <c r="A611" i="19"/>
  <c r="B610" i="19"/>
  <c r="B611" i="19" l="1"/>
  <c r="A612" i="19"/>
  <c r="C611" i="19"/>
  <c r="F611" i="19" s="1"/>
  <c r="C612" i="19" l="1"/>
  <c r="F612" i="19" s="1"/>
  <c r="B612" i="19"/>
  <c r="A613" i="19"/>
  <c r="B613" i="19" l="1"/>
  <c r="A614" i="19"/>
  <c r="C613" i="19"/>
  <c r="F613" i="19" s="1"/>
  <c r="C614" i="19" l="1"/>
  <c r="F614" i="19" s="1"/>
  <c r="A615" i="19"/>
  <c r="B614" i="19"/>
  <c r="B615" i="19" l="1"/>
  <c r="A616" i="19"/>
  <c r="C615" i="19"/>
  <c r="F615" i="19" s="1"/>
  <c r="C616" i="19" l="1"/>
  <c r="F616" i="19" s="1"/>
  <c r="B616" i="19"/>
  <c r="A617" i="19"/>
  <c r="B617" i="19" l="1"/>
  <c r="A618" i="19"/>
  <c r="C617" i="19"/>
  <c r="F617" i="19" s="1"/>
  <c r="C618" i="19" l="1"/>
  <c r="F618" i="19" s="1"/>
  <c r="A619" i="19"/>
  <c r="B618" i="19"/>
  <c r="B619" i="19" l="1"/>
  <c r="A620" i="19"/>
  <c r="C619" i="19"/>
  <c r="F619" i="19" s="1"/>
  <c r="C620" i="19" l="1"/>
  <c r="F620" i="19" s="1"/>
  <c r="B620" i="19"/>
  <c r="A621" i="19"/>
  <c r="B621" i="19" l="1"/>
  <c r="A622" i="19"/>
  <c r="C621" i="19"/>
  <c r="F621" i="19" s="1"/>
  <c r="C622" i="19" l="1"/>
  <c r="F622" i="19" s="1"/>
  <c r="A623" i="19"/>
  <c r="B622" i="19"/>
  <c r="B623" i="19" l="1"/>
  <c r="A624" i="19"/>
  <c r="C623" i="19"/>
  <c r="F623" i="19" s="1"/>
  <c r="C624" i="19" l="1"/>
  <c r="F624" i="19" s="1"/>
  <c r="B624" i="19"/>
  <c r="A625" i="19"/>
  <c r="B625" i="19" l="1"/>
  <c r="A626" i="19"/>
  <c r="C625" i="19"/>
  <c r="F625" i="19" s="1"/>
  <c r="C626" i="19" l="1"/>
  <c r="F626" i="19" s="1"/>
  <c r="A627" i="19"/>
  <c r="B626" i="19"/>
  <c r="B627" i="19" l="1"/>
  <c r="A628" i="19"/>
  <c r="C627" i="19"/>
  <c r="F627" i="19" s="1"/>
  <c r="C628" i="19" l="1"/>
  <c r="F628" i="19" s="1"/>
  <c r="B628" i="19"/>
  <c r="A629" i="19"/>
  <c r="B629" i="19" l="1"/>
  <c r="C629" i="19"/>
  <c r="F629" i="19" s="1"/>
  <c r="A630" i="19"/>
  <c r="B630" i="19" l="1"/>
  <c r="C630" i="19"/>
  <c r="F630" i="19" s="1"/>
  <c r="A631" i="19"/>
  <c r="B631" i="19" l="1"/>
  <c r="C631" i="19"/>
  <c r="F631" i="19" s="1"/>
  <c r="A632" i="19"/>
  <c r="B632" i="19" l="1"/>
  <c r="C632" i="19"/>
  <c r="F632" i="19" s="1"/>
  <c r="A633" i="19"/>
  <c r="B633" i="19" l="1"/>
  <c r="C633" i="19"/>
  <c r="F633" i="19" s="1"/>
  <c r="A634" i="19"/>
  <c r="B634" i="19" l="1"/>
  <c r="C634" i="19"/>
  <c r="F634" i="19" s="1"/>
  <c r="A635" i="19"/>
  <c r="B635" i="19" l="1"/>
  <c r="C635" i="19"/>
  <c r="F635" i="19" s="1"/>
  <c r="A636" i="19"/>
  <c r="B636" i="19" l="1"/>
  <c r="C636" i="19"/>
  <c r="F636" i="19" s="1"/>
  <c r="A637" i="19"/>
  <c r="B637" i="19" l="1"/>
  <c r="C637" i="19"/>
  <c r="F637" i="19" s="1"/>
  <c r="A638" i="19"/>
  <c r="B638" i="19" l="1"/>
  <c r="C638" i="19"/>
  <c r="F638" i="19" s="1"/>
  <c r="A639" i="19"/>
  <c r="B639" i="19" l="1"/>
  <c r="C639" i="19"/>
  <c r="F639" i="19" s="1"/>
  <c r="A640" i="19"/>
  <c r="B640" i="19" l="1"/>
  <c r="C640" i="19"/>
  <c r="F640" i="19" s="1"/>
  <c r="A641" i="19"/>
  <c r="B641" i="19" l="1"/>
  <c r="C641" i="19"/>
  <c r="F641" i="19" s="1"/>
  <c r="A642" i="19"/>
  <c r="B642" i="19" l="1"/>
  <c r="C642" i="19"/>
  <c r="F642" i="19" s="1"/>
  <c r="A643" i="19"/>
  <c r="B643" i="19" l="1"/>
  <c r="C643" i="19"/>
  <c r="F643" i="19" s="1"/>
  <c r="A644" i="19"/>
  <c r="B644" i="19" l="1"/>
  <c r="C644" i="19"/>
  <c r="F644" i="19" s="1"/>
  <c r="A645" i="19"/>
  <c r="B645" i="19" l="1"/>
  <c r="C645" i="19"/>
  <c r="F645" i="19" s="1"/>
  <c r="A646" i="19"/>
  <c r="B646" i="19" l="1"/>
  <c r="C646" i="19"/>
  <c r="F646" i="19" s="1"/>
  <c r="A647" i="19"/>
  <c r="B647" i="19" l="1"/>
  <c r="C647" i="19"/>
  <c r="F647" i="19" s="1"/>
  <c r="A648" i="19"/>
  <c r="B648" i="19" l="1"/>
  <c r="C648" i="19"/>
  <c r="F648" i="19" s="1"/>
  <c r="A649" i="19"/>
  <c r="B649" i="19" l="1"/>
  <c r="C649" i="19"/>
  <c r="F649" i="19" s="1"/>
  <c r="A650" i="19"/>
  <c r="B650" i="19" l="1"/>
  <c r="C650" i="19"/>
  <c r="F650" i="19" s="1"/>
  <c r="A651" i="19"/>
  <c r="B651" i="19" l="1"/>
  <c r="C651" i="19"/>
  <c r="F651" i="19" s="1"/>
  <c r="A652" i="19"/>
  <c r="B652" i="19" l="1"/>
  <c r="C652" i="19"/>
  <c r="F652" i="19" s="1"/>
  <c r="A653" i="19"/>
  <c r="B653" i="19" l="1"/>
  <c r="C653" i="19"/>
  <c r="F653" i="19" s="1"/>
  <c r="A654" i="19"/>
  <c r="B654" i="19" l="1"/>
  <c r="C654" i="19"/>
  <c r="F654" i="19" s="1"/>
  <c r="A655" i="19"/>
  <c r="B655" i="19" l="1"/>
  <c r="C655" i="19"/>
  <c r="F655" i="19" s="1"/>
  <c r="A656" i="19"/>
  <c r="B656" i="19" l="1"/>
  <c r="C656" i="19"/>
  <c r="F656" i="19" s="1"/>
  <c r="A657" i="19"/>
  <c r="B657" i="19" l="1"/>
  <c r="C657" i="19"/>
  <c r="F657" i="19" s="1"/>
  <c r="A658" i="19"/>
  <c r="B658" i="19" l="1"/>
  <c r="C658" i="19"/>
  <c r="F658" i="19" s="1"/>
  <c r="A659" i="19"/>
  <c r="B659" i="19" l="1"/>
  <c r="C659" i="19"/>
  <c r="F659" i="19" s="1"/>
  <c r="A660" i="19"/>
  <c r="B660" i="19" l="1"/>
  <c r="C660" i="19"/>
  <c r="F660" i="19" s="1"/>
  <c r="A661" i="19"/>
  <c r="B661" i="19" l="1"/>
  <c r="C661" i="19"/>
  <c r="F661" i="19" s="1"/>
  <c r="A662" i="19"/>
  <c r="B662" i="19" l="1"/>
  <c r="C662" i="19"/>
  <c r="F662" i="19" s="1"/>
  <c r="A663" i="19"/>
  <c r="B663" i="19" l="1"/>
  <c r="C663" i="19"/>
  <c r="F663" i="19" s="1"/>
  <c r="A664" i="19"/>
  <c r="B664" i="19" l="1"/>
  <c r="C664" i="19"/>
  <c r="F664" i="19" s="1"/>
  <c r="A665" i="19"/>
  <c r="B665" i="19" l="1"/>
  <c r="C665" i="19"/>
  <c r="F665" i="19" s="1"/>
  <c r="A666" i="19"/>
  <c r="B666" i="19" l="1"/>
  <c r="C666" i="19"/>
  <c r="F666" i="19" s="1"/>
  <c r="A667" i="19"/>
  <c r="B667" i="19" l="1"/>
  <c r="C667" i="19"/>
  <c r="F667" i="19" s="1"/>
  <c r="A668" i="19"/>
  <c r="B668" i="19" l="1"/>
  <c r="C668" i="19"/>
  <c r="F668" i="19" s="1"/>
  <c r="A669" i="19"/>
  <c r="B669" i="19" l="1"/>
  <c r="C669" i="19"/>
  <c r="F669" i="19" s="1"/>
  <c r="A670" i="19"/>
  <c r="B670" i="19" l="1"/>
  <c r="C670" i="19"/>
  <c r="F670" i="19" s="1"/>
  <c r="A671" i="19"/>
  <c r="B671" i="19" l="1"/>
  <c r="C671" i="19"/>
  <c r="F671" i="19" s="1"/>
  <c r="A672" i="19"/>
  <c r="B672" i="19" l="1"/>
  <c r="C672" i="19"/>
  <c r="F672" i="19" s="1"/>
  <c r="A673" i="19"/>
  <c r="B673" i="19" l="1"/>
  <c r="C673" i="19"/>
  <c r="F673" i="19" s="1"/>
  <c r="A674" i="19"/>
  <c r="B674" i="19" l="1"/>
  <c r="C674" i="19"/>
  <c r="F674" i="19" s="1"/>
  <c r="A675" i="19"/>
  <c r="B675" i="19" l="1"/>
  <c r="C675" i="19"/>
  <c r="F675" i="19" s="1"/>
  <c r="A676" i="19"/>
  <c r="B676" i="19" l="1"/>
  <c r="C676" i="19"/>
  <c r="F676" i="19" s="1"/>
  <c r="A677" i="19"/>
  <c r="B677" i="19" l="1"/>
  <c r="C677" i="19"/>
  <c r="F677" i="19" s="1"/>
  <c r="A678" i="19"/>
  <c r="B678" i="19" l="1"/>
  <c r="C678" i="19"/>
  <c r="F678" i="19" s="1"/>
  <c r="A679" i="19"/>
  <c r="B679" i="19" l="1"/>
  <c r="C679" i="19"/>
  <c r="F679" i="19" s="1"/>
  <c r="A680" i="19"/>
  <c r="B680" i="19" l="1"/>
  <c r="C680" i="19"/>
  <c r="F680" i="19" s="1"/>
  <c r="A681" i="19"/>
  <c r="B681" i="19" l="1"/>
  <c r="C681" i="19"/>
  <c r="F681" i="19" s="1"/>
  <c r="A682" i="19"/>
  <c r="B682" i="19" l="1"/>
  <c r="C682" i="19"/>
  <c r="F682" i="19" s="1"/>
  <c r="A683" i="19"/>
  <c r="B683" i="19" l="1"/>
  <c r="C683" i="19"/>
  <c r="F683" i="19" s="1"/>
  <c r="A684" i="19"/>
  <c r="B684" i="19" l="1"/>
  <c r="C684" i="19"/>
  <c r="F684" i="19" s="1"/>
  <c r="A685" i="19"/>
  <c r="B685" i="19" l="1"/>
  <c r="C685" i="19"/>
  <c r="F685" i="19" s="1"/>
  <c r="A686" i="19"/>
  <c r="B686" i="19" l="1"/>
  <c r="C686" i="19"/>
  <c r="F686" i="19" s="1"/>
  <c r="A687" i="19"/>
  <c r="B687" i="19" l="1"/>
  <c r="C687" i="19"/>
  <c r="F687" i="19" s="1"/>
  <c r="A688" i="19"/>
  <c r="C688" i="19" l="1"/>
  <c r="F688" i="19" s="1"/>
  <c r="A689" i="19"/>
  <c r="B688" i="19"/>
  <c r="C689" i="19" l="1"/>
  <c r="F689" i="19" s="1"/>
  <c r="A690" i="19"/>
  <c r="B689" i="19"/>
  <c r="C690" i="19" l="1"/>
  <c r="F690" i="19" s="1"/>
  <c r="A691" i="19"/>
  <c r="B690" i="19"/>
  <c r="C691" i="19" l="1"/>
  <c r="F691" i="19" s="1"/>
  <c r="A692" i="19"/>
  <c r="B691" i="19"/>
  <c r="C692" i="19" l="1"/>
  <c r="F692" i="19" s="1"/>
  <c r="A693" i="19"/>
  <c r="B692" i="19"/>
  <c r="C693" i="19" l="1"/>
  <c r="F693" i="19" s="1"/>
  <c r="A694" i="19"/>
  <c r="B693" i="19"/>
  <c r="C694" i="19" l="1"/>
  <c r="F694" i="19" s="1"/>
  <c r="A695" i="19"/>
  <c r="B694" i="19"/>
  <c r="C695" i="19" l="1"/>
  <c r="F695" i="19" s="1"/>
  <c r="A696" i="19"/>
  <c r="B695" i="19"/>
  <c r="C696" i="19" l="1"/>
  <c r="F696" i="19" s="1"/>
  <c r="A697" i="19"/>
  <c r="B696" i="19"/>
  <c r="C697" i="19" l="1"/>
  <c r="F697" i="19" s="1"/>
  <c r="A698" i="19"/>
  <c r="B697" i="19"/>
  <c r="C698" i="19" l="1"/>
  <c r="F698" i="19" s="1"/>
  <c r="A699" i="19"/>
  <c r="B698" i="19"/>
  <c r="C699" i="19" l="1"/>
  <c r="F699" i="19" s="1"/>
  <c r="A700" i="19"/>
  <c r="B699" i="19"/>
  <c r="C700" i="19" l="1"/>
  <c r="F700" i="19" s="1"/>
  <c r="A701" i="19"/>
  <c r="B700" i="19"/>
  <c r="C701" i="19" l="1"/>
  <c r="F701" i="19" s="1"/>
  <c r="A702" i="19"/>
  <c r="B701" i="19"/>
  <c r="C702" i="19" l="1"/>
  <c r="F702" i="19" s="1"/>
  <c r="A703" i="19"/>
  <c r="B702" i="19"/>
  <c r="C703" i="19" l="1"/>
  <c r="F703" i="19" s="1"/>
  <c r="A704" i="19"/>
  <c r="B703" i="19"/>
  <c r="C704" i="19" l="1"/>
  <c r="F704" i="19" s="1"/>
  <c r="A705" i="19"/>
  <c r="B704" i="19"/>
  <c r="A706" i="19" l="1"/>
  <c r="C705" i="19"/>
  <c r="F705" i="19" s="1"/>
  <c r="B705" i="19"/>
  <c r="C706" i="19" l="1"/>
  <c r="F706" i="19" s="1"/>
  <c r="B706" i="19"/>
  <c r="A707" i="19"/>
  <c r="B707" i="19" l="1"/>
  <c r="A708" i="19"/>
  <c r="C707" i="19"/>
  <c r="F707" i="19" s="1"/>
  <c r="C708" i="19" l="1"/>
  <c r="F708" i="19" s="1"/>
  <c r="A709" i="19"/>
  <c r="B708" i="19"/>
  <c r="B709" i="19" l="1"/>
  <c r="A710" i="19"/>
  <c r="C709" i="19"/>
  <c r="F709" i="19" s="1"/>
  <c r="C710" i="19" l="1"/>
  <c r="F710" i="19" s="1"/>
  <c r="B710" i="19"/>
  <c r="A711" i="19"/>
  <c r="B711" i="19" l="1"/>
  <c r="A712" i="19"/>
  <c r="C711" i="19"/>
  <c r="F711" i="19" s="1"/>
  <c r="C712" i="19" l="1"/>
  <c r="F712" i="19" s="1"/>
  <c r="A713" i="19"/>
  <c r="B712" i="19"/>
  <c r="B713" i="19" l="1"/>
  <c r="A714" i="19"/>
  <c r="C713" i="19"/>
  <c r="F713" i="19" s="1"/>
  <c r="C714" i="19" l="1"/>
  <c r="F714" i="19" s="1"/>
  <c r="B714" i="19"/>
  <c r="A715" i="19"/>
  <c r="B715" i="19" l="1"/>
  <c r="A716" i="19"/>
  <c r="C715" i="19"/>
  <c r="F715" i="19" s="1"/>
  <c r="C716" i="19" l="1"/>
  <c r="F716" i="19" s="1"/>
  <c r="A717" i="19"/>
  <c r="B716" i="19"/>
  <c r="B717" i="19" l="1"/>
  <c r="A718" i="19"/>
  <c r="C717" i="19"/>
  <c r="F717" i="19" s="1"/>
  <c r="C718" i="19" l="1"/>
  <c r="F718" i="19" s="1"/>
  <c r="B718" i="19"/>
  <c r="A719" i="19"/>
  <c r="B719" i="19" l="1"/>
  <c r="A720" i="19"/>
  <c r="C719" i="19"/>
  <c r="F719" i="19" s="1"/>
  <c r="C720" i="19" l="1"/>
  <c r="F720" i="19" s="1"/>
  <c r="A721" i="19"/>
  <c r="B720" i="19"/>
  <c r="B721" i="19" l="1"/>
  <c r="A722" i="19"/>
  <c r="C721" i="19"/>
  <c r="F721" i="19" s="1"/>
  <c r="C722" i="19" l="1"/>
  <c r="F722" i="19" s="1"/>
  <c r="B722" i="19"/>
  <c r="A723" i="19"/>
  <c r="B723" i="19" l="1"/>
  <c r="A724" i="19"/>
  <c r="C723" i="19"/>
  <c r="F723" i="19" s="1"/>
  <c r="C724" i="19" l="1"/>
  <c r="F724" i="19" s="1"/>
  <c r="A725" i="19"/>
  <c r="B724" i="19"/>
  <c r="B725" i="19" l="1"/>
  <c r="A726" i="19"/>
  <c r="C725" i="19"/>
  <c r="F725" i="19" s="1"/>
  <c r="C726" i="19" l="1"/>
  <c r="F726" i="19" s="1"/>
  <c r="B726" i="19"/>
  <c r="A727" i="19"/>
  <c r="B727" i="19" l="1"/>
  <c r="A728" i="19"/>
  <c r="C727" i="19"/>
  <c r="F727" i="19" s="1"/>
  <c r="C728" i="19" l="1"/>
  <c r="F728" i="19" s="1"/>
  <c r="A729" i="19"/>
  <c r="B728" i="19"/>
  <c r="B729" i="19" l="1"/>
  <c r="A730" i="19"/>
  <c r="C729" i="19"/>
  <c r="F729" i="19" s="1"/>
  <c r="A731" i="19" l="1"/>
  <c r="C730" i="19"/>
  <c r="F730" i="19" s="1"/>
  <c r="B730" i="19"/>
  <c r="C731" i="19" l="1"/>
  <c r="F731" i="19" s="1"/>
  <c r="B731" i="19"/>
  <c r="A732" i="19"/>
  <c r="B732" i="19" l="1"/>
  <c r="A733" i="19"/>
  <c r="C732" i="19"/>
  <c r="F732" i="19" s="1"/>
  <c r="C733" i="19" l="1"/>
  <c r="F733" i="19" s="1"/>
  <c r="A734" i="19"/>
  <c r="B733" i="19"/>
  <c r="B734" i="19" l="1"/>
  <c r="A735" i="19"/>
  <c r="C734" i="19"/>
  <c r="F734" i="19" s="1"/>
  <c r="C735" i="19" l="1"/>
  <c r="F735" i="19" s="1"/>
  <c r="B735" i="19"/>
  <c r="A736" i="19"/>
  <c r="B736" i="19" l="1"/>
  <c r="A737" i="19"/>
  <c r="C736" i="19"/>
  <c r="F736" i="19" s="1"/>
  <c r="C737" i="19" l="1"/>
  <c r="F737" i="19" s="1"/>
  <c r="A738" i="19"/>
  <c r="B737" i="19"/>
  <c r="B738" i="19" l="1"/>
  <c r="A739" i="19"/>
  <c r="C738" i="19"/>
  <c r="F738" i="19" s="1"/>
  <c r="C739" i="19" l="1"/>
  <c r="F739" i="19" s="1"/>
  <c r="B739" i="19"/>
  <c r="A740" i="19"/>
  <c r="B740" i="19" l="1"/>
  <c r="A741" i="19"/>
  <c r="C740" i="19"/>
  <c r="F740" i="19" s="1"/>
  <c r="C741" i="19" l="1"/>
  <c r="F741" i="19" s="1"/>
  <c r="A742" i="19"/>
  <c r="B741" i="19"/>
  <c r="B742" i="19" l="1"/>
  <c r="A743" i="19"/>
  <c r="C742" i="19"/>
  <c r="F742" i="19" s="1"/>
  <c r="C743" i="19" l="1"/>
  <c r="F743" i="19" s="1"/>
  <c r="B743" i="19"/>
  <c r="A744" i="19"/>
  <c r="B744" i="19" l="1"/>
  <c r="A745" i="19"/>
  <c r="C744" i="19"/>
  <c r="F744" i="19" s="1"/>
  <c r="C745" i="19" l="1"/>
  <c r="F745" i="19" s="1"/>
  <c r="A746" i="19"/>
  <c r="B745" i="19"/>
  <c r="B746" i="19" l="1"/>
  <c r="A747" i="19"/>
  <c r="C746" i="19"/>
  <c r="F746" i="19" s="1"/>
  <c r="C747" i="19" l="1"/>
  <c r="F747" i="19" s="1"/>
  <c r="B747" i="19"/>
  <c r="A748" i="19"/>
  <c r="B748" i="19" l="1"/>
  <c r="A749" i="19"/>
  <c r="C748" i="19"/>
  <c r="F748" i="19" s="1"/>
  <c r="C749" i="19" l="1"/>
  <c r="F749" i="19" s="1"/>
  <c r="A750" i="19"/>
  <c r="B749" i="19"/>
  <c r="B750" i="19" l="1"/>
  <c r="A751" i="19"/>
  <c r="C750" i="19"/>
  <c r="F750" i="19" s="1"/>
  <c r="C751" i="19" l="1"/>
  <c r="F751" i="19" s="1"/>
  <c r="B751" i="19"/>
  <c r="A752" i="19"/>
  <c r="B752" i="19" l="1"/>
  <c r="A753" i="19"/>
  <c r="C752" i="19"/>
  <c r="F752" i="19" s="1"/>
  <c r="C753" i="19" l="1"/>
  <c r="F753" i="19" s="1"/>
  <c r="A754" i="19"/>
  <c r="B753" i="19"/>
  <c r="B754" i="19" l="1"/>
  <c r="A755" i="19"/>
  <c r="C754" i="19"/>
  <c r="F754" i="19" s="1"/>
  <c r="C755" i="19" l="1"/>
  <c r="F755" i="19" s="1"/>
  <c r="B755" i="19"/>
  <c r="A756" i="19"/>
  <c r="B756" i="19" l="1"/>
  <c r="A757" i="19"/>
  <c r="C756" i="19"/>
  <c r="F756" i="19" s="1"/>
  <c r="C757" i="19" l="1"/>
  <c r="F757" i="19" s="1"/>
  <c r="A758" i="19"/>
  <c r="B757" i="19"/>
  <c r="B758" i="19" l="1"/>
  <c r="A759" i="19"/>
  <c r="C758" i="19"/>
  <c r="F758" i="19" s="1"/>
  <c r="C759" i="19" l="1"/>
  <c r="F759" i="19" s="1"/>
  <c r="B759" i="19"/>
  <c r="A760" i="19"/>
  <c r="B760" i="19" l="1"/>
  <c r="A761" i="19"/>
  <c r="C760" i="19"/>
  <c r="F760" i="19" s="1"/>
  <c r="C761" i="19" l="1"/>
  <c r="F761" i="19" s="1"/>
  <c r="A762" i="19"/>
  <c r="B761" i="19"/>
  <c r="B762" i="19" l="1"/>
  <c r="A763" i="19"/>
  <c r="C762" i="19"/>
  <c r="F762" i="19" s="1"/>
  <c r="C763" i="19" l="1"/>
  <c r="F763" i="19" s="1"/>
  <c r="B763" i="19"/>
  <c r="A764" i="19"/>
  <c r="B764" i="19" l="1"/>
  <c r="A765" i="19"/>
  <c r="C764" i="19"/>
  <c r="F764" i="19" s="1"/>
  <c r="C765" i="19" l="1"/>
  <c r="F765" i="19" s="1"/>
  <c r="A766" i="19"/>
  <c r="B765" i="19"/>
  <c r="B766" i="19" l="1"/>
  <c r="A767" i="19"/>
  <c r="C766" i="19"/>
  <c r="F766" i="19" s="1"/>
  <c r="C767" i="19" l="1"/>
  <c r="F767" i="19" s="1"/>
  <c r="B767" i="19"/>
  <c r="A768" i="19"/>
  <c r="B768" i="19" l="1"/>
  <c r="A769" i="19"/>
  <c r="C768" i="19"/>
  <c r="F768" i="19" s="1"/>
  <c r="C769" i="19" l="1"/>
  <c r="F769" i="19" s="1"/>
  <c r="A770" i="19"/>
  <c r="B769" i="19"/>
  <c r="B770" i="19" l="1"/>
  <c r="A771" i="19"/>
  <c r="C770" i="19"/>
  <c r="F770" i="19" s="1"/>
  <c r="C771" i="19" l="1"/>
  <c r="F771" i="19" s="1"/>
  <c r="B771" i="19"/>
  <c r="A772" i="19"/>
  <c r="B772" i="19" l="1"/>
  <c r="A773" i="19"/>
  <c r="C772" i="19"/>
  <c r="F772" i="19" s="1"/>
  <c r="C773" i="19" l="1"/>
  <c r="F773" i="19" s="1"/>
  <c r="A774" i="19"/>
  <c r="B773" i="19"/>
  <c r="B774" i="19" l="1"/>
  <c r="A775" i="19"/>
  <c r="C774" i="19"/>
  <c r="F774" i="19" s="1"/>
  <c r="C775" i="19" l="1"/>
  <c r="F775" i="19" s="1"/>
  <c r="B775" i="19"/>
  <c r="A776" i="19"/>
  <c r="B776" i="19" l="1"/>
  <c r="A777" i="19"/>
  <c r="C776" i="19"/>
  <c r="F776" i="19" s="1"/>
  <c r="C777" i="19" l="1"/>
  <c r="F777" i="19" s="1"/>
  <c r="A778" i="19"/>
  <c r="B777" i="19"/>
  <c r="B778" i="19" l="1"/>
  <c r="A779" i="19"/>
  <c r="C778" i="19"/>
  <c r="F778" i="19" s="1"/>
  <c r="C779" i="19" l="1"/>
  <c r="F779" i="19" s="1"/>
  <c r="B779" i="19"/>
  <c r="A780" i="19"/>
  <c r="B780" i="19" l="1"/>
  <c r="A781" i="19"/>
  <c r="C780" i="19"/>
  <c r="F780" i="19" s="1"/>
  <c r="C781" i="19" l="1"/>
  <c r="F781" i="19" s="1"/>
  <c r="A782" i="19"/>
  <c r="B781" i="19"/>
  <c r="B782" i="19" l="1"/>
  <c r="A783" i="19"/>
  <c r="C782" i="19"/>
  <c r="F782" i="19" s="1"/>
  <c r="C783" i="19" l="1"/>
  <c r="F783" i="19" s="1"/>
  <c r="B783" i="19"/>
  <c r="A784" i="19"/>
  <c r="B784" i="19" l="1"/>
  <c r="A785" i="19"/>
  <c r="C784" i="19"/>
  <c r="F784" i="19" s="1"/>
  <c r="C785" i="19" l="1"/>
  <c r="F785" i="19" s="1"/>
  <c r="A786" i="19"/>
  <c r="B785" i="19"/>
  <c r="B786" i="19" l="1"/>
  <c r="A787" i="19"/>
  <c r="C786" i="19"/>
  <c r="F786" i="19" s="1"/>
  <c r="B787" i="19" l="1"/>
  <c r="A788" i="19"/>
  <c r="C787" i="19"/>
  <c r="F787" i="19" s="1"/>
  <c r="C788" i="19" l="1"/>
  <c r="F788" i="19" s="1"/>
  <c r="A789" i="19"/>
  <c r="B788" i="19"/>
  <c r="B789" i="19" l="1"/>
  <c r="A790" i="19"/>
  <c r="C789" i="19"/>
  <c r="F789" i="19" s="1"/>
  <c r="C790" i="19" l="1"/>
  <c r="F790" i="19" s="1"/>
  <c r="B790" i="19"/>
  <c r="A791" i="19"/>
  <c r="B791" i="19" l="1"/>
  <c r="A792" i="19"/>
  <c r="C791" i="19"/>
  <c r="F791" i="19" s="1"/>
  <c r="C792" i="19" l="1"/>
  <c r="F792" i="19" s="1"/>
  <c r="A793" i="19"/>
  <c r="B792" i="19"/>
  <c r="B793" i="19" l="1"/>
  <c r="C793" i="19"/>
  <c r="F793" i="19" s="1"/>
</calcChain>
</file>

<file path=xl/comments1.xml><?xml version="1.0" encoding="utf-8"?>
<comments xmlns="http://schemas.openxmlformats.org/spreadsheetml/2006/main">
  <authors>
    <author>Faustino Palma</author>
  </authors>
  <commentList>
    <comment ref="D1" authorId="0" shapeId="0">
      <text>
        <r>
          <rPr>
            <sz val="9"/>
            <color indexed="81"/>
            <rFont val="Tahoma"/>
            <family val="2"/>
          </rPr>
          <t>setup time in hours</t>
        </r>
      </text>
    </comment>
    <comment ref="E1" authorId="0" shapeId="0">
      <text>
        <r>
          <rPr>
            <sz val="9"/>
            <color indexed="81"/>
            <rFont val="Tahoma"/>
            <family val="2"/>
          </rPr>
          <t>number of operators needed to do the machine setup</t>
        </r>
      </text>
    </comment>
    <comment ref="F1" authorId="0" shapeId="0">
      <text>
        <r>
          <rPr>
            <sz val="9"/>
            <color indexed="81"/>
            <rFont val="Tahoma"/>
            <family val="2"/>
          </rPr>
          <t>in hours the fixed portion of the production time</t>
        </r>
      </text>
    </comment>
    <comment ref="G1" authorId="0" shapeId="0">
      <text>
        <r>
          <rPr>
            <sz val="9"/>
            <color indexed="81"/>
            <rFont val="Tahoma"/>
            <family val="2"/>
          </rPr>
          <t>the number of operators needed during the production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the number of days that will last from the work activity done to the availability of the product, needed mostly for purchase items</t>
        </r>
      </text>
    </comment>
  </commentList>
</comments>
</file>

<file path=xl/sharedStrings.xml><?xml version="1.0" encoding="utf-8"?>
<sst xmlns="http://schemas.openxmlformats.org/spreadsheetml/2006/main" count="317" uniqueCount="70">
  <si>
    <t>setup_time</t>
  </si>
  <si>
    <t>work_cell</t>
  </si>
  <si>
    <t>setup_crew</t>
  </si>
  <si>
    <t>production_crew</t>
  </si>
  <si>
    <t>product_description</t>
  </si>
  <si>
    <t>description</t>
  </si>
  <si>
    <t>department</t>
  </si>
  <si>
    <t>classification</t>
  </si>
  <si>
    <t>product_code</t>
  </si>
  <si>
    <t>client</t>
  </si>
  <si>
    <t>order_line_number</t>
  </si>
  <si>
    <t>code_produced</t>
  </si>
  <si>
    <t>code_used</t>
  </si>
  <si>
    <t>activity_description</t>
  </si>
  <si>
    <t>work_cell_used</t>
  </si>
  <si>
    <t>day</t>
  </si>
  <si>
    <t>weekday</t>
  </si>
  <si>
    <t>shifts_A</t>
  </si>
  <si>
    <t>date</t>
  </si>
  <si>
    <t>shift_pool</t>
  </si>
  <si>
    <t>index_in_bom_line</t>
  </si>
  <si>
    <t>index_in_bol_line</t>
  </si>
  <si>
    <t>code_name</t>
  </si>
  <si>
    <t>number_of_equal_cells</t>
  </si>
  <si>
    <t>lead_time_days</t>
  </si>
  <si>
    <t>request_time</t>
  </si>
  <si>
    <t>request_date</t>
  </si>
  <si>
    <t>code</t>
  </si>
  <si>
    <t>quantity</t>
  </si>
  <si>
    <t>A</t>
  </si>
  <si>
    <t>shift_hours</t>
  </si>
  <si>
    <t>blue_collars_per_shift</t>
  </si>
  <si>
    <t>number_of_products</t>
  </si>
  <si>
    <t>production_time</t>
  </si>
  <si>
    <t>A1</t>
  </si>
  <si>
    <t>A2</t>
  </si>
  <si>
    <t>A3</t>
  </si>
  <si>
    <t>A31</t>
  </si>
  <si>
    <t>A32</t>
  </si>
  <si>
    <t>B</t>
  </si>
  <si>
    <t>B1</t>
  </si>
  <si>
    <t>B2</t>
  </si>
  <si>
    <t>C</t>
  </si>
  <si>
    <t>C1</t>
  </si>
  <si>
    <t>C11</t>
  </si>
  <si>
    <t>C12</t>
  </si>
  <si>
    <t>assy</t>
  </si>
  <si>
    <t>assy1</t>
  </si>
  <si>
    <t>assy2</t>
  </si>
  <si>
    <t>parts1</t>
  </si>
  <si>
    <t>parts2</t>
  </si>
  <si>
    <t>purchasing</t>
  </si>
  <si>
    <t>parts</t>
  </si>
  <si>
    <t>usually, the input representing year demand is expressed in tabular form</t>
  </si>
  <si>
    <t>anyhow, the simulation model takes in input a different tabular form (a row for each order), thus the above table shall be converted</t>
  </si>
  <si>
    <t>product</t>
  </si>
  <si>
    <t>index</t>
  </si>
  <si>
    <t>quotient</t>
  </si>
  <si>
    <t>remainder</t>
  </si>
  <si>
    <t>the following table can be cut and pase in the "demand" sheet</t>
  </si>
  <si>
    <t>setup</t>
  </si>
  <si>
    <t>production</t>
  </si>
  <si>
    <t>make of parts</t>
  </si>
  <si>
    <t>assembly of components</t>
  </si>
  <si>
    <t>purchasing of components</t>
  </si>
  <si>
    <t>assembly of final product</t>
  </si>
  <si>
    <t>ABC products</t>
  </si>
  <si>
    <t>product A</t>
  </si>
  <si>
    <t>product B</t>
  </si>
  <si>
    <t>productC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</si>
</sst>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0000"/>
    <numFmt numFmtId="165" formatCode="0000"/>
    <numFmt numFmtId="166" formatCode="#,##0.0"/>
    <numFmt numFmtId="167" formatCode="dd/mm/yyyy\ hh:mm:ss;@"/>
    <numFmt numFmtId="168" formatCode="mmmm\ yyyy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5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0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0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67" formatCode="dd/mm/yyyy\ 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5F5FA"/>
        </patternFill>
      </fill>
    </dxf>
    <dxf>
      <fill>
        <patternFill patternType="solid">
          <fgColor indexed="64"/>
          <bgColor rgb="FFF0F0F5"/>
        </patternFill>
      </fill>
    </dxf>
    <dxf>
      <font>
        <b/>
        <i val="0"/>
      </font>
      <border>
        <top style="medium">
          <color theme="0" tint="-0.34998626667073579"/>
        </top>
        <bottom/>
      </border>
    </dxf>
    <dxf>
      <border>
        <left/>
        <right/>
        <top/>
        <bottom style="medium">
          <color theme="0" tint="-0.34998626667073579"/>
        </bottom>
        <vertical/>
        <horizontal/>
      </border>
    </dxf>
    <dxf>
      <border>
        <left/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14999847407452621"/>
        </vertical>
        <horizontal style="thin">
          <color theme="0" tint="-0.34998626667073579"/>
        </horizontal>
      </border>
    </dxf>
  </dxfs>
  <tableStyles count="1" defaultTableStyle="TableStyleMedium2" defaultPivotStyle="PivotStyleLight16">
    <tableStyle name="Action item" pivot="0" count="5">
      <tableStyleElement type="wholeTable" dxfId="54"/>
      <tableStyleElement type="headerRow" dxfId="53"/>
      <tableStyleElement type="totalRow" dxfId="52"/>
      <tableStyleElement type="firstColumn" dxfId="51"/>
      <tableStyleElement type="firstRowStripe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demand_table" displayName="demand_table" ref="A1:G37" totalsRowShown="0" headerRowDxfId="49" dataDxfId="48">
  <autoFilter ref="A1:G37"/>
  <sortState ref="A2:H10">
    <sortCondition ref="E1:E10"/>
  </sortState>
  <tableColumns count="7">
    <tableColumn id="4" name="client" dataDxfId="47"/>
    <tableColumn id="1" name="order_line_number" dataDxfId="46"/>
    <tableColumn id="2" name="product_code" dataDxfId="45"/>
    <tableColumn id="6" name="product_description" dataDxfId="44"/>
    <tableColumn id="8" name="request_date" dataDxfId="43"/>
    <tableColumn id="3" name="number_of_products" dataDxfId="42"/>
    <tableColumn id="7" name="request_time" dataDxfId="41">
      <calculatedColumnFormula>demand_table[[#This Row],[request_date]]-day_zero</calculatedColumnFormula>
    </tableColumn>
  </tableColumns>
  <tableStyleInfo name="Action item" showFirstColumn="0" showLastColumn="0" showRowStripes="1" showColumnStripes="0"/>
</table>
</file>

<file path=xl/tables/table2.xml><?xml version="1.0" encoding="utf-8"?>
<table xmlns="http://schemas.openxmlformats.org/spreadsheetml/2006/main" id="3" name="bom_table" displayName="bom_table" ref="A1:C14" totalsRowShown="0" headerRowDxfId="40" dataDxfId="39">
  <autoFilter ref="A1:C14"/>
  <tableColumns count="3">
    <tableColumn id="1" name="code_produced" dataDxfId="38"/>
    <tableColumn id="2" name="code_used" dataDxfId="37"/>
    <tableColumn id="4" name="quantity" dataDxfId="36"/>
  </tableColumns>
  <tableStyleInfo name="Action item" showFirstColumn="0" showLastColumn="0" showRowStripes="1" showColumnStripes="0"/>
</table>
</file>

<file path=xl/tables/table3.xml><?xml version="1.0" encoding="utf-8"?>
<table xmlns="http://schemas.openxmlformats.org/spreadsheetml/2006/main" id="4" name="bol_table" displayName="bol_table" ref="A1:H14" totalsRowShown="0" headerRowDxfId="35" dataDxfId="34">
  <autoFilter ref="A1:H14"/>
  <tableColumns count="8">
    <tableColumn id="1" name="code_produced" dataDxfId="33"/>
    <tableColumn id="17" name="activity_description" dataDxfId="32"/>
    <tableColumn id="23" name="work_cell_used" dataDxfId="31"/>
    <tableColumn id="7" name="setup_time" dataDxfId="30"/>
    <tableColumn id="8" name="setup_crew" dataDxfId="29"/>
    <tableColumn id="2" name="production_time" dataDxfId="28"/>
    <tableColumn id="10" name="production_crew" dataDxfId="27"/>
    <tableColumn id="3" name="lead_time_days" dataDxfId="26"/>
  </tableColumns>
  <tableStyleInfo name="Action item" showFirstColumn="0" showLastColumn="0" showRowStripes="1" showColumnStripes="0"/>
</table>
</file>

<file path=xl/tables/table4.xml><?xml version="1.0" encoding="utf-8"?>
<table xmlns="http://schemas.openxmlformats.org/spreadsheetml/2006/main" id="11" name="code_descriptions_table" displayName="code_descriptions_table" ref="A1:E14" totalsRowShown="0" headerRowDxfId="25" dataDxfId="24">
  <autoFilter ref="A1:E14"/>
  <tableColumns count="5">
    <tableColumn id="2" name="code_name" dataDxfId="23"/>
    <tableColumn id="3" name="description" dataDxfId="22"/>
    <tableColumn id="4" name="classification" dataDxfId="21"/>
    <tableColumn id="1" name="index_in_bom_line" dataDxfId="20">
      <calculatedColumnFormula>MATCH(code_descriptions_table[[#This Row],[code_name]],bom_table[code_produced],0)</calculatedColumnFormula>
    </tableColumn>
    <tableColumn id="5" name="index_in_bol_line" dataDxfId="19">
      <calculatedColumnFormula>MATCH(code_descriptions_table[[#This Row],[code_name]],bol_table[code_produced],0)</calculatedColumnFormula>
    </tableColumn>
  </tableColumns>
  <tableStyleInfo name="Action item" showFirstColumn="0" showLastColumn="0" showRowStripes="1" showColumnStripes="0"/>
</table>
</file>

<file path=xl/tables/table5.xml><?xml version="1.0" encoding="utf-8"?>
<table xmlns="http://schemas.openxmlformats.org/spreadsheetml/2006/main" id="5" name="work_cells_table" displayName="work_cells_table" ref="A1:E6" totalsRowShown="0" headerRowDxfId="18" dataDxfId="17">
  <autoFilter ref="A1:E6"/>
  <tableColumns count="5">
    <tableColumn id="5" name="department" dataDxfId="16"/>
    <tableColumn id="6" name="work_cell" dataDxfId="15"/>
    <tableColumn id="3" name="description" dataDxfId="14"/>
    <tableColumn id="4" name="number_of_equal_cells" dataDxfId="13"/>
    <tableColumn id="9" name="shift_pool" dataDxfId="12"/>
  </tableColumns>
  <tableStyleInfo name="Action item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:B11" totalsRowShown="0" headerRowDxfId="11" dataDxfId="10">
  <autoFilter ref="A1:B11"/>
  <tableColumns count="2">
    <tableColumn id="1" name="code" dataDxfId="9"/>
    <tableColumn id="8" name="quantity" dataDxfId="8"/>
  </tableColumns>
  <tableStyleInfo name="Action item" showFirstColumn="0" showLastColumn="0" showRowStripes="1" showColumnStripes="0"/>
</table>
</file>

<file path=xl/tables/table7.xml><?xml version="1.0" encoding="utf-8"?>
<table xmlns="http://schemas.openxmlformats.org/spreadsheetml/2006/main" id="1" name="Table1" displayName="Table1" ref="A1:F793" totalsRowShown="0" headerRowDxfId="7" dataDxfId="6">
  <tableColumns count="6">
    <tableColumn id="1" name="date" dataDxfId="5">
      <calculatedColumnFormula>A1+1</calculatedColumnFormula>
    </tableColumn>
    <tableColumn id="8" name="day" dataDxfId="4">
      <calculatedColumnFormula>Table1[[#This Row],[date]]-day_zero</calculatedColumnFormula>
    </tableColumn>
    <tableColumn id="2" name="weekday" dataDxfId="3">
      <calculatedColumnFormula>WEEKDAY(Table1[[#This Row],[date]],2 )</calculatedColumnFormula>
    </tableColumn>
    <tableColumn id="4" name="blue_collars_per_shift" dataDxfId="2"/>
    <tableColumn id="6" name="shift_hours" dataDxfId="1"/>
    <tableColumn id="3" name="shifts_A" dataDxfId="0">
      <calculatedColumnFormula>IF(Table1[[#This Row],[weekday]]&lt;6,2,0)</calculatedColumnFormula>
    </tableColumn>
  </tableColumns>
  <tableStyleInfo name="Action item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1"/>
  <sheetViews>
    <sheetView showGridLines="0" workbookViewId="0">
      <selection activeCell="C5" sqref="C5:N7"/>
    </sheetView>
  </sheetViews>
  <sheetFormatPr defaultRowHeight="14.5" x14ac:dyDescent="0.35"/>
  <cols>
    <col min="1" max="1" width="4.1796875" style="1" customWidth="1"/>
    <col min="2" max="2" width="8.7265625" style="1"/>
    <col min="3" max="14" width="14.36328125" style="1" customWidth="1"/>
    <col min="15" max="16384" width="8.7265625" style="1"/>
  </cols>
  <sheetData>
    <row r="2" spans="2:14" x14ac:dyDescent="0.35">
      <c r="B2" s="22" t="s">
        <v>53</v>
      </c>
    </row>
    <row r="4" spans="2:14" ht="15" thickBot="1" x14ac:dyDescent="0.4">
      <c r="C4" s="21">
        <v>42370</v>
      </c>
      <c r="D4" s="21">
        <v>42401</v>
      </c>
      <c r="E4" s="21">
        <v>42430</v>
      </c>
      <c r="F4" s="21">
        <v>42461</v>
      </c>
      <c r="G4" s="21">
        <v>42491</v>
      </c>
      <c r="H4" s="21">
        <v>42522</v>
      </c>
      <c r="I4" s="21">
        <v>42552</v>
      </c>
      <c r="J4" s="21">
        <v>42583</v>
      </c>
      <c r="K4" s="21">
        <v>42614</v>
      </c>
      <c r="L4" s="21">
        <v>42644</v>
      </c>
      <c r="M4" s="21">
        <v>42675</v>
      </c>
      <c r="N4" s="21">
        <v>42705</v>
      </c>
    </row>
    <row r="5" spans="2:14" x14ac:dyDescent="0.35">
      <c r="B5" s="18" t="s">
        <v>29</v>
      </c>
      <c r="C5" s="18">
        <v>10</v>
      </c>
      <c r="D5" s="18">
        <v>20</v>
      </c>
      <c r="E5" s="18">
        <v>10</v>
      </c>
      <c r="F5" s="18">
        <v>30</v>
      </c>
      <c r="G5" s="18">
        <v>0</v>
      </c>
      <c r="H5" s="18">
        <v>40</v>
      </c>
      <c r="I5" s="18">
        <v>30</v>
      </c>
      <c r="J5" s="18">
        <v>0</v>
      </c>
      <c r="K5" s="18">
        <v>50</v>
      </c>
      <c r="L5" s="18">
        <v>10</v>
      </c>
      <c r="M5" s="18">
        <v>30</v>
      </c>
      <c r="N5" s="18">
        <v>10</v>
      </c>
    </row>
    <row r="6" spans="2:14" x14ac:dyDescent="0.35">
      <c r="B6" s="19" t="s">
        <v>39</v>
      </c>
      <c r="C6" s="19">
        <v>10</v>
      </c>
      <c r="D6" s="19">
        <v>20</v>
      </c>
      <c r="E6" s="19">
        <v>10</v>
      </c>
      <c r="F6" s="19">
        <v>20</v>
      </c>
      <c r="G6" s="19">
        <v>0</v>
      </c>
      <c r="H6" s="19">
        <v>20</v>
      </c>
      <c r="I6" s="19">
        <v>30</v>
      </c>
      <c r="J6" s="19">
        <v>0</v>
      </c>
      <c r="K6" s="19">
        <v>30</v>
      </c>
      <c r="L6" s="19">
        <v>20</v>
      </c>
      <c r="M6" s="19">
        <v>20</v>
      </c>
      <c r="N6" s="19">
        <v>10</v>
      </c>
    </row>
    <row r="7" spans="2:14" ht="15" thickBot="1" x14ac:dyDescent="0.4">
      <c r="B7" s="20" t="s">
        <v>42</v>
      </c>
      <c r="C7" s="20">
        <v>20</v>
      </c>
      <c r="D7" s="20">
        <v>30</v>
      </c>
      <c r="E7" s="20">
        <v>10</v>
      </c>
      <c r="F7" s="20">
        <v>5</v>
      </c>
      <c r="G7" s="20">
        <v>10</v>
      </c>
      <c r="H7" s="20">
        <v>10</v>
      </c>
      <c r="I7" s="20">
        <v>30</v>
      </c>
      <c r="J7" s="20">
        <v>0</v>
      </c>
      <c r="K7" s="20">
        <v>20</v>
      </c>
      <c r="L7" s="20">
        <v>10</v>
      </c>
      <c r="M7" s="20">
        <v>30</v>
      </c>
      <c r="N7" s="20">
        <v>10</v>
      </c>
    </row>
    <row r="11" spans="2:14" x14ac:dyDescent="0.35">
      <c r="B11" s="22" t="s">
        <v>54</v>
      </c>
    </row>
    <row r="12" spans="2:14" x14ac:dyDescent="0.35">
      <c r="B12" s="22" t="s">
        <v>59</v>
      </c>
    </row>
    <row r="14" spans="2:14" x14ac:dyDescent="0.35">
      <c r="B14" s="1" t="s">
        <v>56</v>
      </c>
      <c r="C14" s="1" t="s">
        <v>57</v>
      </c>
      <c r="D14" s="1" t="s">
        <v>58</v>
      </c>
      <c r="E14" s="1" t="s">
        <v>55</v>
      </c>
      <c r="F14" s="1" t="s">
        <v>18</v>
      </c>
      <c r="G14" s="1" t="s">
        <v>28</v>
      </c>
    </row>
    <row r="15" spans="2:14" x14ac:dyDescent="0.35">
      <c r="B15" s="1">
        <v>0</v>
      </c>
      <c r="C15" s="1">
        <f>QUOTIENT(B15,12)</f>
        <v>0</v>
      </c>
      <c r="D15" s="1">
        <f>MOD(B15,12)</f>
        <v>0</v>
      </c>
      <c r="E15" s="1" t="str">
        <f ca="1">OFFSET($B$5,C15,0)</f>
        <v>A</v>
      </c>
      <c r="F15" s="21">
        <f ca="1">OFFSET($C$4,0,D15)</f>
        <v>42370</v>
      </c>
      <c r="G15" s="1">
        <f ca="1">OFFSET($C$5,C15,D15)</f>
        <v>10</v>
      </c>
    </row>
    <row r="16" spans="2:14" x14ac:dyDescent="0.35">
      <c r="B16" s="1">
        <v>1</v>
      </c>
      <c r="C16" s="1">
        <f t="shared" ref="C16:C50" si="0">QUOTIENT(B16,12)</f>
        <v>0</v>
      </c>
      <c r="D16" s="1">
        <f t="shared" ref="D16:D50" si="1">MOD(B16,12)</f>
        <v>1</v>
      </c>
      <c r="E16" s="1" t="str">
        <f t="shared" ref="E16:E50" ca="1" si="2">OFFSET($B$5,C16,0)</f>
        <v>A</v>
      </c>
      <c r="F16" s="21">
        <f t="shared" ref="F16:F50" ca="1" si="3">OFFSET($C$4,0,D16)</f>
        <v>42401</v>
      </c>
      <c r="G16" s="1">
        <f t="shared" ref="G16:G50" ca="1" si="4">OFFSET($C$5,C16,D16)</f>
        <v>20</v>
      </c>
    </row>
    <row r="17" spans="2:7" x14ac:dyDescent="0.35">
      <c r="B17" s="1">
        <v>2</v>
      </c>
      <c r="C17" s="1">
        <f t="shared" si="0"/>
        <v>0</v>
      </c>
      <c r="D17" s="1">
        <f t="shared" si="1"/>
        <v>2</v>
      </c>
      <c r="E17" s="1" t="str">
        <f t="shared" ca="1" si="2"/>
        <v>A</v>
      </c>
      <c r="F17" s="21">
        <f t="shared" ca="1" si="3"/>
        <v>42430</v>
      </c>
      <c r="G17" s="1">
        <f t="shared" ca="1" si="4"/>
        <v>10</v>
      </c>
    </row>
    <row r="18" spans="2:7" x14ac:dyDescent="0.35">
      <c r="B18" s="1">
        <v>3</v>
      </c>
      <c r="C18" s="1">
        <f t="shared" si="0"/>
        <v>0</v>
      </c>
      <c r="D18" s="1">
        <f t="shared" si="1"/>
        <v>3</v>
      </c>
      <c r="E18" s="1" t="str">
        <f t="shared" ca="1" si="2"/>
        <v>A</v>
      </c>
      <c r="F18" s="21">
        <f t="shared" ca="1" si="3"/>
        <v>42461</v>
      </c>
      <c r="G18" s="1">
        <f t="shared" ca="1" si="4"/>
        <v>30</v>
      </c>
    </row>
    <row r="19" spans="2:7" x14ac:dyDescent="0.35">
      <c r="B19" s="1">
        <v>4</v>
      </c>
      <c r="C19" s="1">
        <f t="shared" si="0"/>
        <v>0</v>
      </c>
      <c r="D19" s="1">
        <f t="shared" si="1"/>
        <v>4</v>
      </c>
      <c r="E19" s="1" t="str">
        <f t="shared" ca="1" si="2"/>
        <v>A</v>
      </c>
      <c r="F19" s="21">
        <f t="shared" ca="1" si="3"/>
        <v>42491</v>
      </c>
      <c r="G19" s="1">
        <f t="shared" ca="1" si="4"/>
        <v>0</v>
      </c>
    </row>
    <row r="20" spans="2:7" x14ac:dyDescent="0.35">
      <c r="B20" s="1">
        <v>5</v>
      </c>
      <c r="C20" s="1">
        <f t="shared" si="0"/>
        <v>0</v>
      </c>
      <c r="D20" s="1">
        <f t="shared" si="1"/>
        <v>5</v>
      </c>
      <c r="E20" s="1" t="str">
        <f t="shared" ca="1" si="2"/>
        <v>A</v>
      </c>
      <c r="F20" s="21">
        <f t="shared" ca="1" si="3"/>
        <v>42522</v>
      </c>
      <c r="G20" s="1">
        <f t="shared" ca="1" si="4"/>
        <v>40</v>
      </c>
    </row>
    <row r="21" spans="2:7" x14ac:dyDescent="0.35">
      <c r="B21" s="1">
        <v>6</v>
      </c>
      <c r="C21" s="1">
        <f t="shared" si="0"/>
        <v>0</v>
      </c>
      <c r="D21" s="1">
        <f t="shared" si="1"/>
        <v>6</v>
      </c>
      <c r="E21" s="1" t="str">
        <f t="shared" ca="1" si="2"/>
        <v>A</v>
      </c>
      <c r="F21" s="21">
        <f t="shared" ca="1" si="3"/>
        <v>42552</v>
      </c>
      <c r="G21" s="1">
        <f t="shared" ca="1" si="4"/>
        <v>30</v>
      </c>
    </row>
    <row r="22" spans="2:7" x14ac:dyDescent="0.35">
      <c r="B22" s="1">
        <v>7</v>
      </c>
      <c r="C22" s="1">
        <f t="shared" si="0"/>
        <v>0</v>
      </c>
      <c r="D22" s="1">
        <f t="shared" si="1"/>
        <v>7</v>
      </c>
      <c r="E22" s="1" t="str">
        <f t="shared" ca="1" si="2"/>
        <v>A</v>
      </c>
      <c r="F22" s="21">
        <f t="shared" ca="1" si="3"/>
        <v>42583</v>
      </c>
      <c r="G22" s="1">
        <f t="shared" ca="1" si="4"/>
        <v>0</v>
      </c>
    </row>
    <row r="23" spans="2:7" x14ac:dyDescent="0.35">
      <c r="B23" s="1">
        <v>8</v>
      </c>
      <c r="C23" s="1">
        <f t="shared" si="0"/>
        <v>0</v>
      </c>
      <c r="D23" s="1">
        <f t="shared" si="1"/>
        <v>8</v>
      </c>
      <c r="E23" s="1" t="str">
        <f t="shared" ca="1" si="2"/>
        <v>A</v>
      </c>
      <c r="F23" s="21">
        <f t="shared" ca="1" si="3"/>
        <v>42614</v>
      </c>
      <c r="G23" s="1">
        <f t="shared" ca="1" si="4"/>
        <v>50</v>
      </c>
    </row>
    <row r="24" spans="2:7" x14ac:dyDescent="0.35">
      <c r="B24" s="1">
        <v>9</v>
      </c>
      <c r="C24" s="1">
        <f t="shared" si="0"/>
        <v>0</v>
      </c>
      <c r="D24" s="1">
        <f t="shared" si="1"/>
        <v>9</v>
      </c>
      <c r="E24" s="1" t="str">
        <f t="shared" ca="1" si="2"/>
        <v>A</v>
      </c>
      <c r="F24" s="21">
        <f t="shared" ca="1" si="3"/>
        <v>42644</v>
      </c>
      <c r="G24" s="1">
        <f t="shared" ca="1" si="4"/>
        <v>10</v>
      </c>
    </row>
    <row r="25" spans="2:7" x14ac:dyDescent="0.35">
      <c r="B25" s="1">
        <v>10</v>
      </c>
      <c r="C25" s="1">
        <f t="shared" si="0"/>
        <v>0</v>
      </c>
      <c r="D25" s="1">
        <f t="shared" si="1"/>
        <v>10</v>
      </c>
      <c r="E25" s="1" t="str">
        <f t="shared" ca="1" si="2"/>
        <v>A</v>
      </c>
      <c r="F25" s="21">
        <f t="shared" ca="1" si="3"/>
        <v>42675</v>
      </c>
      <c r="G25" s="1">
        <f t="shared" ca="1" si="4"/>
        <v>30</v>
      </c>
    </row>
    <row r="26" spans="2:7" x14ac:dyDescent="0.35">
      <c r="B26" s="1">
        <v>11</v>
      </c>
      <c r="C26" s="1">
        <f t="shared" si="0"/>
        <v>0</v>
      </c>
      <c r="D26" s="1">
        <f t="shared" si="1"/>
        <v>11</v>
      </c>
      <c r="E26" s="1" t="str">
        <f t="shared" ca="1" si="2"/>
        <v>A</v>
      </c>
      <c r="F26" s="21">
        <f t="shared" ca="1" si="3"/>
        <v>42705</v>
      </c>
      <c r="G26" s="1">
        <f t="shared" ca="1" si="4"/>
        <v>10</v>
      </c>
    </row>
    <row r="27" spans="2:7" x14ac:dyDescent="0.35">
      <c r="B27" s="1">
        <v>12</v>
      </c>
      <c r="C27" s="1">
        <f t="shared" si="0"/>
        <v>1</v>
      </c>
      <c r="D27" s="1">
        <f t="shared" si="1"/>
        <v>0</v>
      </c>
      <c r="E27" s="1" t="str">
        <f t="shared" ca="1" si="2"/>
        <v>B</v>
      </c>
      <c r="F27" s="21">
        <f t="shared" ca="1" si="3"/>
        <v>42370</v>
      </c>
      <c r="G27" s="1">
        <f t="shared" ca="1" si="4"/>
        <v>10</v>
      </c>
    </row>
    <row r="28" spans="2:7" x14ac:dyDescent="0.35">
      <c r="B28" s="1">
        <v>13</v>
      </c>
      <c r="C28" s="1">
        <f t="shared" si="0"/>
        <v>1</v>
      </c>
      <c r="D28" s="1">
        <f t="shared" si="1"/>
        <v>1</v>
      </c>
      <c r="E28" s="1" t="str">
        <f t="shared" ca="1" si="2"/>
        <v>B</v>
      </c>
      <c r="F28" s="21">
        <f t="shared" ca="1" si="3"/>
        <v>42401</v>
      </c>
      <c r="G28" s="1">
        <f t="shared" ca="1" si="4"/>
        <v>20</v>
      </c>
    </row>
    <row r="29" spans="2:7" x14ac:dyDescent="0.35">
      <c r="B29" s="1">
        <v>14</v>
      </c>
      <c r="C29" s="1">
        <f t="shared" si="0"/>
        <v>1</v>
      </c>
      <c r="D29" s="1">
        <f t="shared" si="1"/>
        <v>2</v>
      </c>
      <c r="E29" s="1" t="str">
        <f t="shared" ca="1" si="2"/>
        <v>B</v>
      </c>
      <c r="F29" s="21">
        <f t="shared" ca="1" si="3"/>
        <v>42430</v>
      </c>
      <c r="G29" s="1">
        <f t="shared" ca="1" si="4"/>
        <v>10</v>
      </c>
    </row>
    <row r="30" spans="2:7" x14ac:dyDescent="0.35">
      <c r="B30" s="1">
        <v>15</v>
      </c>
      <c r="C30" s="1">
        <f t="shared" si="0"/>
        <v>1</v>
      </c>
      <c r="D30" s="1">
        <f t="shared" si="1"/>
        <v>3</v>
      </c>
      <c r="E30" s="1" t="str">
        <f t="shared" ca="1" si="2"/>
        <v>B</v>
      </c>
      <c r="F30" s="21">
        <f t="shared" ca="1" si="3"/>
        <v>42461</v>
      </c>
      <c r="G30" s="1">
        <f t="shared" ca="1" si="4"/>
        <v>20</v>
      </c>
    </row>
    <row r="31" spans="2:7" x14ac:dyDescent="0.35">
      <c r="B31" s="1">
        <v>16</v>
      </c>
      <c r="C31" s="1">
        <f t="shared" si="0"/>
        <v>1</v>
      </c>
      <c r="D31" s="1">
        <f t="shared" si="1"/>
        <v>4</v>
      </c>
      <c r="E31" s="1" t="str">
        <f t="shared" ca="1" si="2"/>
        <v>B</v>
      </c>
      <c r="F31" s="21">
        <f t="shared" ca="1" si="3"/>
        <v>42491</v>
      </c>
      <c r="G31" s="1">
        <f t="shared" ca="1" si="4"/>
        <v>0</v>
      </c>
    </row>
    <row r="32" spans="2:7" x14ac:dyDescent="0.35">
      <c r="B32" s="1">
        <v>17</v>
      </c>
      <c r="C32" s="1">
        <f t="shared" si="0"/>
        <v>1</v>
      </c>
      <c r="D32" s="1">
        <f t="shared" si="1"/>
        <v>5</v>
      </c>
      <c r="E32" s="1" t="str">
        <f t="shared" ca="1" si="2"/>
        <v>B</v>
      </c>
      <c r="F32" s="21">
        <f t="shared" ca="1" si="3"/>
        <v>42522</v>
      </c>
      <c r="G32" s="1">
        <f t="shared" ca="1" si="4"/>
        <v>20</v>
      </c>
    </row>
    <row r="33" spans="2:7" x14ac:dyDescent="0.35">
      <c r="B33" s="1">
        <v>18</v>
      </c>
      <c r="C33" s="1">
        <f t="shared" si="0"/>
        <v>1</v>
      </c>
      <c r="D33" s="1">
        <f t="shared" si="1"/>
        <v>6</v>
      </c>
      <c r="E33" s="1" t="str">
        <f t="shared" ca="1" si="2"/>
        <v>B</v>
      </c>
      <c r="F33" s="21">
        <f t="shared" ca="1" si="3"/>
        <v>42552</v>
      </c>
      <c r="G33" s="1">
        <f t="shared" ca="1" si="4"/>
        <v>30</v>
      </c>
    </row>
    <row r="34" spans="2:7" x14ac:dyDescent="0.35">
      <c r="B34" s="1">
        <v>19</v>
      </c>
      <c r="C34" s="1">
        <f t="shared" si="0"/>
        <v>1</v>
      </c>
      <c r="D34" s="1">
        <f t="shared" si="1"/>
        <v>7</v>
      </c>
      <c r="E34" s="1" t="str">
        <f t="shared" ca="1" si="2"/>
        <v>B</v>
      </c>
      <c r="F34" s="21">
        <f t="shared" ca="1" si="3"/>
        <v>42583</v>
      </c>
      <c r="G34" s="1">
        <f t="shared" ca="1" si="4"/>
        <v>0</v>
      </c>
    </row>
    <row r="35" spans="2:7" x14ac:dyDescent="0.35">
      <c r="B35" s="1">
        <v>20</v>
      </c>
      <c r="C35" s="1">
        <f t="shared" si="0"/>
        <v>1</v>
      </c>
      <c r="D35" s="1">
        <f t="shared" si="1"/>
        <v>8</v>
      </c>
      <c r="E35" s="1" t="str">
        <f t="shared" ca="1" si="2"/>
        <v>B</v>
      </c>
      <c r="F35" s="21">
        <f t="shared" ca="1" si="3"/>
        <v>42614</v>
      </c>
      <c r="G35" s="1">
        <f t="shared" ca="1" si="4"/>
        <v>30</v>
      </c>
    </row>
    <row r="36" spans="2:7" x14ac:dyDescent="0.35">
      <c r="B36" s="1">
        <v>21</v>
      </c>
      <c r="C36" s="1">
        <f t="shared" si="0"/>
        <v>1</v>
      </c>
      <c r="D36" s="1">
        <f t="shared" si="1"/>
        <v>9</v>
      </c>
      <c r="E36" s="1" t="str">
        <f t="shared" ca="1" si="2"/>
        <v>B</v>
      </c>
      <c r="F36" s="21">
        <f t="shared" ca="1" si="3"/>
        <v>42644</v>
      </c>
      <c r="G36" s="1">
        <f t="shared" ca="1" si="4"/>
        <v>20</v>
      </c>
    </row>
    <row r="37" spans="2:7" x14ac:dyDescent="0.35">
      <c r="B37" s="1">
        <v>22</v>
      </c>
      <c r="C37" s="1">
        <f t="shared" si="0"/>
        <v>1</v>
      </c>
      <c r="D37" s="1">
        <f t="shared" si="1"/>
        <v>10</v>
      </c>
      <c r="E37" s="1" t="str">
        <f t="shared" ca="1" si="2"/>
        <v>B</v>
      </c>
      <c r="F37" s="21">
        <f t="shared" ca="1" si="3"/>
        <v>42675</v>
      </c>
      <c r="G37" s="1">
        <f t="shared" ca="1" si="4"/>
        <v>20</v>
      </c>
    </row>
    <row r="38" spans="2:7" x14ac:dyDescent="0.35">
      <c r="B38" s="1">
        <v>23</v>
      </c>
      <c r="C38" s="1">
        <f t="shared" si="0"/>
        <v>1</v>
      </c>
      <c r="D38" s="1">
        <f t="shared" si="1"/>
        <v>11</v>
      </c>
      <c r="E38" s="1" t="str">
        <f t="shared" ca="1" si="2"/>
        <v>B</v>
      </c>
      <c r="F38" s="21">
        <f t="shared" ca="1" si="3"/>
        <v>42705</v>
      </c>
      <c r="G38" s="1">
        <f t="shared" ca="1" si="4"/>
        <v>10</v>
      </c>
    </row>
    <row r="39" spans="2:7" x14ac:dyDescent="0.35">
      <c r="B39" s="1">
        <v>24</v>
      </c>
      <c r="C39" s="1">
        <f t="shared" si="0"/>
        <v>2</v>
      </c>
      <c r="D39" s="1">
        <f t="shared" si="1"/>
        <v>0</v>
      </c>
      <c r="E39" s="1" t="str">
        <f t="shared" ca="1" si="2"/>
        <v>C</v>
      </c>
      <c r="F39" s="21">
        <f t="shared" ca="1" si="3"/>
        <v>42370</v>
      </c>
      <c r="G39" s="1">
        <f t="shared" ca="1" si="4"/>
        <v>20</v>
      </c>
    </row>
    <row r="40" spans="2:7" x14ac:dyDescent="0.35">
      <c r="B40" s="1">
        <v>25</v>
      </c>
      <c r="C40" s="1">
        <f t="shared" si="0"/>
        <v>2</v>
      </c>
      <c r="D40" s="1">
        <f t="shared" si="1"/>
        <v>1</v>
      </c>
      <c r="E40" s="1" t="str">
        <f t="shared" ca="1" si="2"/>
        <v>C</v>
      </c>
      <c r="F40" s="21">
        <f t="shared" ca="1" si="3"/>
        <v>42401</v>
      </c>
      <c r="G40" s="1">
        <f t="shared" ca="1" si="4"/>
        <v>30</v>
      </c>
    </row>
    <row r="41" spans="2:7" x14ac:dyDescent="0.35">
      <c r="B41" s="1">
        <v>26</v>
      </c>
      <c r="C41" s="1">
        <f t="shared" si="0"/>
        <v>2</v>
      </c>
      <c r="D41" s="1">
        <f t="shared" si="1"/>
        <v>2</v>
      </c>
      <c r="E41" s="1" t="str">
        <f t="shared" ca="1" si="2"/>
        <v>C</v>
      </c>
      <c r="F41" s="21">
        <f t="shared" ca="1" si="3"/>
        <v>42430</v>
      </c>
      <c r="G41" s="1">
        <f t="shared" ca="1" si="4"/>
        <v>10</v>
      </c>
    </row>
    <row r="42" spans="2:7" x14ac:dyDescent="0.35">
      <c r="B42" s="1">
        <v>27</v>
      </c>
      <c r="C42" s="1">
        <f t="shared" si="0"/>
        <v>2</v>
      </c>
      <c r="D42" s="1">
        <f t="shared" si="1"/>
        <v>3</v>
      </c>
      <c r="E42" s="1" t="str">
        <f t="shared" ca="1" si="2"/>
        <v>C</v>
      </c>
      <c r="F42" s="21">
        <f t="shared" ca="1" si="3"/>
        <v>42461</v>
      </c>
      <c r="G42" s="1">
        <f t="shared" ca="1" si="4"/>
        <v>5</v>
      </c>
    </row>
    <row r="43" spans="2:7" x14ac:dyDescent="0.35">
      <c r="B43" s="1">
        <v>28</v>
      </c>
      <c r="C43" s="1">
        <f t="shared" si="0"/>
        <v>2</v>
      </c>
      <c r="D43" s="1">
        <f t="shared" si="1"/>
        <v>4</v>
      </c>
      <c r="E43" s="1" t="str">
        <f t="shared" ca="1" si="2"/>
        <v>C</v>
      </c>
      <c r="F43" s="21">
        <f t="shared" ca="1" si="3"/>
        <v>42491</v>
      </c>
      <c r="G43" s="1">
        <f t="shared" ca="1" si="4"/>
        <v>10</v>
      </c>
    </row>
    <row r="44" spans="2:7" x14ac:dyDescent="0.35">
      <c r="B44" s="1">
        <v>29</v>
      </c>
      <c r="C44" s="1">
        <f t="shared" si="0"/>
        <v>2</v>
      </c>
      <c r="D44" s="1">
        <f t="shared" si="1"/>
        <v>5</v>
      </c>
      <c r="E44" s="1" t="str">
        <f t="shared" ca="1" si="2"/>
        <v>C</v>
      </c>
      <c r="F44" s="21">
        <f t="shared" ca="1" si="3"/>
        <v>42522</v>
      </c>
      <c r="G44" s="1">
        <f t="shared" ca="1" si="4"/>
        <v>10</v>
      </c>
    </row>
    <row r="45" spans="2:7" x14ac:dyDescent="0.35">
      <c r="B45" s="1">
        <v>30</v>
      </c>
      <c r="C45" s="1">
        <f t="shared" si="0"/>
        <v>2</v>
      </c>
      <c r="D45" s="1">
        <f t="shared" si="1"/>
        <v>6</v>
      </c>
      <c r="E45" s="1" t="str">
        <f t="shared" ca="1" si="2"/>
        <v>C</v>
      </c>
      <c r="F45" s="21">
        <f t="shared" ca="1" si="3"/>
        <v>42552</v>
      </c>
      <c r="G45" s="1">
        <f t="shared" ca="1" si="4"/>
        <v>30</v>
      </c>
    </row>
    <row r="46" spans="2:7" x14ac:dyDescent="0.35">
      <c r="B46" s="1">
        <v>31</v>
      </c>
      <c r="C46" s="1">
        <f t="shared" si="0"/>
        <v>2</v>
      </c>
      <c r="D46" s="1">
        <f t="shared" si="1"/>
        <v>7</v>
      </c>
      <c r="E46" s="1" t="str">
        <f t="shared" ca="1" si="2"/>
        <v>C</v>
      </c>
      <c r="F46" s="21">
        <f t="shared" ca="1" si="3"/>
        <v>42583</v>
      </c>
      <c r="G46" s="1">
        <f t="shared" ca="1" si="4"/>
        <v>0</v>
      </c>
    </row>
    <row r="47" spans="2:7" x14ac:dyDescent="0.35">
      <c r="B47" s="1">
        <v>32</v>
      </c>
      <c r="C47" s="1">
        <f t="shared" si="0"/>
        <v>2</v>
      </c>
      <c r="D47" s="1">
        <f t="shared" si="1"/>
        <v>8</v>
      </c>
      <c r="E47" s="1" t="str">
        <f t="shared" ca="1" si="2"/>
        <v>C</v>
      </c>
      <c r="F47" s="21">
        <f t="shared" ca="1" si="3"/>
        <v>42614</v>
      </c>
      <c r="G47" s="1">
        <f t="shared" ca="1" si="4"/>
        <v>20</v>
      </c>
    </row>
    <row r="48" spans="2:7" x14ac:dyDescent="0.35">
      <c r="B48" s="1">
        <v>33</v>
      </c>
      <c r="C48" s="1">
        <f t="shared" si="0"/>
        <v>2</v>
      </c>
      <c r="D48" s="1">
        <f t="shared" si="1"/>
        <v>9</v>
      </c>
      <c r="E48" s="1" t="str">
        <f t="shared" ca="1" si="2"/>
        <v>C</v>
      </c>
      <c r="F48" s="21">
        <f t="shared" ca="1" si="3"/>
        <v>42644</v>
      </c>
      <c r="G48" s="1">
        <f t="shared" ca="1" si="4"/>
        <v>10</v>
      </c>
    </row>
    <row r="49" spans="2:7" x14ac:dyDescent="0.35">
      <c r="B49" s="1">
        <v>34</v>
      </c>
      <c r="C49" s="1">
        <f t="shared" si="0"/>
        <v>2</v>
      </c>
      <c r="D49" s="1">
        <f t="shared" si="1"/>
        <v>10</v>
      </c>
      <c r="E49" s="1" t="str">
        <f t="shared" ca="1" si="2"/>
        <v>C</v>
      </c>
      <c r="F49" s="21">
        <f t="shared" ca="1" si="3"/>
        <v>42675</v>
      </c>
      <c r="G49" s="1">
        <f t="shared" ca="1" si="4"/>
        <v>30</v>
      </c>
    </row>
    <row r="50" spans="2:7" x14ac:dyDescent="0.35">
      <c r="B50" s="1">
        <v>35</v>
      </c>
      <c r="C50" s="1">
        <f t="shared" si="0"/>
        <v>2</v>
      </c>
      <c r="D50" s="1">
        <f t="shared" si="1"/>
        <v>11</v>
      </c>
      <c r="E50" s="1" t="str">
        <f t="shared" ca="1" si="2"/>
        <v>C</v>
      </c>
      <c r="F50" s="21">
        <f t="shared" ca="1" si="3"/>
        <v>42705</v>
      </c>
      <c r="G50" s="1">
        <f t="shared" ca="1" si="4"/>
        <v>10</v>
      </c>
    </row>
    <row r="51" spans="2:7" x14ac:dyDescent="0.35">
      <c r="F51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1"/>
  <sheetViews>
    <sheetView showGridLines="0" workbookViewId="0"/>
  </sheetViews>
  <sheetFormatPr defaultRowHeight="14.5" x14ac:dyDescent="0.35"/>
  <cols>
    <col min="1" max="1" width="8.7265625" style="1" customWidth="1"/>
    <col min="2" max="13" width="8.7265625" style="1"/>
    <col min="14" max="15" width="11.1796875" style="1" customWidth="1"/>
    <col min="16" max="16384" width="8.7265625" style="1"/>
  </cols>
  <sheetData>
    <row r="2" spans="2:15" x14ac:dyDescent="0.35">
      <c r="N2" s="1" t="s">
        <v>60</v>
      </c>
      <c r="O2" s="1" t="s">
        <v>61</v>
      </c>
    </row>
    <row r="3" spans="2:15" x14ac:dyDescent="0.35">
      <c r="B3" s="23" t="s">
        <v>29</v>
      </c>
      <c r="K3" s="1" t="s">
        <v>29</v>
      </c>
      <c r="L3" s="1">
        <v>1</v>
      </c>
      <c r="M3" s="1">
        <v>2</v>
      </c>
      <c r="N3" s="1">
        <f>L3</f>
        <v>1</v>
      </c>
      <c r="O3" s="1">
        <f>M3</f>
        <v>2</v>
      </c>
    </row>
    <row r="4" spans="2:15" x14ac:dyDescent="0.35">
      <c r="B4" s="24"/>
      <c r="C4" s="25"/>
    </row>
    <row r="5" spans="2:15" x14ac:dyDescent="0.35">
      <c r="C5" s="23" t="s">
        <v>34</v>
      </c>
      <c r="D5" s="23">
        <v>1</v>
      </c>
      <c r="K5" s="1" t="s">
        <v>34</v>
      </c>
      <c r="L5" s="1">
        <v>1</v>
      </c>
      <c r="M5" s="1">
        <v>1</v>
      </c>
      <c r="N5" s="1">
        <f>L5*$D5</f>
        <v>1</v>
      </c>
      <c r="O5" s="1">
        <f>M5*$D5</f>
        <v>1</v>
      </c>
    </row>
    <row r="6" spans="2:15" x14ac:dyDescent="0.35">
      <c r="C6" s="23" t="s">
        <v>35</v>
      </c>
      <c r="D6" s="23">
        <v>1</v>
      </c>
      <c r="K6" s="1" t="s">
        <v>35</v>
      </c>
      <c r="L6" s="1">
        <v>1</v>
      </c>
      <c r="M6" s="1">
        <v>1</v>
      </c>
      <c r="N6" s="1">
        <f t="shared" ref="N6:O7" si="0">L6*$D6</f>
        <v>1</v>
      </c>
      <c r="O6" s="1">
        <f t="shared" si="0"/>
        <v>1</v>
      </c>
    </row>
    <row r="7" spans="2:15" x14ac:dyDescent="0.35">
      <c r="C7" s="23" t="s">
        <v>36</v>
      </c>
      <c r="D7" s="23">
        <v>2</v>
      </c>
      <c r="K7" s="1" t="s">
        <v>36</v>
      </c>
      <c r="L7" s="1">
        <v>1</v>
      </c>
      <c r="M7" s="1">
        <v>1</v>
      </c>
      <c r="N7" s="1">
        <f t="shared" si="0"/>
        <v>2</v>
      </c>
      <c r="O7" s="1">
        <f t="shared" si="0"/>
        <v>2</v>
      </c>
    </row>
    <row r="8" spans="2:15" x14ac:dyDescent="0.35">
      <c r="C8" s="24"/>
      <c r="D8" s="24"/>
      <c r="E8" s="25"/>
    </row>
    <row r="9" spans="2:15" x14ac:dyDescent="0.35">
      <c r="E9" s="23" t="s">
        <v>37</v>
      </c>
      <c r="F9" s="23">
        <v>1</v>
      </c>
      <c r="K9" s="1" t="s">
        <v>37</v>
      </c>
    </row>
    <row r="10" spans="2:15" ht="15" thickBot="1" x14ac:dyDescent="0.4">
      <c r="E10" s="23" t="s">
        <v>38</v>
      </c>
      <c r="F10" s="23">
        <v>1</v>
      </c>
      <c r="K10" s="26" t="s">
        <v>38</v>
      </c>
      <c r="L10" s="26"/>
      <c r="M10" s="26"/>
      <c r="N10" s="26"/>
      <c r="O10" s="26"/>
    </row>
    <row r="11" spans="2:15" x14ac:dyDescent="0.35">
      <c r="E11" s="24"/>
      <c r="F11" s="24"/>
      <c r="N11" s="1">
        <f>SUM(N3:N10)</f>
        <v>5</v>
      </c>
      <c r="O11" s="28">
        <f>SUM(O3:O10)</f>
        <v>6</v>
      </c>
    </row>
    <row r="14" spans="2:15" x14ac:dyDescent="0.35">
      <c r="B14" s="23" t="s">
        <v>39</v>
      </c>
      <c r="K14" s="1" t="s">
        <v>39</v>
      </c>
      <c r="L14" s="1">
        <v>1</v>
      </c>
      <c r="M14" s="1">
        <v>2</v>
      </c>
      <c r="N14" s="1">
        <f>L14</f>
        <v>1</v>
      </c>
      <c r="O14" s="1">
        <f>M14</f>
        <v>2</v>
      </c>
    </row>
    <row r="15" spans="2:15" x14ac:dyDescent="0.35">
      <c r="B15" s="24"/>
      <c r="C15" s="25"/>
    </row>
    <row r="16" spans="2:15" x14ac:dyDescent="0.35">
      <c r="C16" s="23" t="s">
        <v>36</v>
      </c>
      <c r="D16" s="23">
        <v>1</v>
      </c>
      <c r="K16" s="1" t="s">
        <v>36</v>
      </c>
      <c r="L16" s="1">
        <v>1</v>
      </c>
      <c r="M16" s="1">
        <v>1</v>
      </c>
      <c r="N16" s="1">
        <f t="shared" ref="N16" si="1">L16*$D16</f>
        <v>1</v>
      </c>
      <c r="O16" s="1">
        <f t="shared" ref="O16" si="2">M16*$D16</f>
        <v>1</v>
      </c>
    </row>
    <row r="17" spans="2:15" x14ac:dyDescent="0.35">
      <c r="C17" s="25"/>
      <c r="D17" s="24"/>
      <c r="E17" s="25"/>
    </row>
    <row r="18" spans="2:15" x14ac:dyDescent="0.35">
      <c r="C18" s="25"/>
      <c r="E18" s="23" t="s">
        <v>37</v>
      </c>
      <c r="F18" s="23">
        <v>1</v>
      </c>
      <c r="K18" s="1" t="s">
        <v>37</v>
      </c>
    </row>
    <row r="19" spans="2:15" x14ac:dyDescent="0.35">
      <c r="C19" s="25"/>
      <c r="E19" s="23" t="s">
        <v>38</v>
      </c>
      <c r="F19" s="23">
        <v>1</v>
      </c>
      <c r="K19" s="1" t="s">
        <v>38</v>
      </c>
    </row>
    <row r="20" spans="2:15" x14ac:dyDescent="0.35">
      <c r="C20" s="25"/>
    </row>
    <row r="21" spans="2:15" x14ac:dyDescent="0.35">
      <c r="C21" s="23" t="s">
        <v>40</v>
      </c>
      <c r="D21" s="23">
        <v>1</v>
      </c>
      <c r="K21" s="1" t="s">
        <v>40</v>
      </c>
      <c r="L21" s="1">
        <v>1</v>
      </c>
      <c r="M21" s="1">
        <v>1</v>
      </c>
      <c r="N21" s="1">
        <f t="shared" ref="N21:O22" si="3">L21*$D21</f>
        <v>1</v>
      </c>
      <c r="O21" s="1">
        <f t="shared" si="3"/>
        <v>1</v>
      </c>
    </row>
    <row r="22" spans="2:15" ht="15" thickBot="1" x14ac:dyDescent="0.4">
      <c r="C22" s="23" t="s">
        <v>41</v>
      </c>
      <c r="D22" s="23">
        <v>2</v>
      </c>
      <c r="K22" s="26" t="s">
        <v>41</v>
      </c>
      <c r="L22" s="26">
        <v>1</v>
      </c>
      <c r="M22" s="26">
        <v>1</v>
      </c>
      <c r="N22" s="26">
        <f t="shared" si="3"/>
        <v>2</v>
      </c>
      <c r="O22" s="26">
        <f t="shared" si="3"/>
        <v>2</v>
      </c>
    </row>
    <row r="23" spans="2:15" x14ac:dyDescent="0.35">
      <c r="N23" s="1">
        <f>SUM(N14:N22)</f>
        <v>5</v>
      </c>
      <c r="O23" s="28">
        <f>SUM(O14:O22)</f>
        <v>6</v>
      </c>
    </row>
    <row r="26" spans="2:15" x14ac:dyDescent="0.35">
      <c r="B26" s="23" t="s">
        <v>42</v>
      </c>
      <c r="K26" s="1" t="s">
        <v>42</v>
      </c>
      <c r="L26" s="1">
        <v>1</v>
      </c>
      <c r="M26" s="1">
        <v>2</v>
      </c>
      <c r="N26" s="1">
        <f>L26</f>
        <v>1</v>
      </c>
      <c r="O26" s="1">
        <f>M26</f>
        <v>2</v>
      </c>
    </row>
    <row r="27" spans="2:15" x14ac:dyDescent="0.35">
      <c r="B27" s="24"/>
      <c r="C27" s="25"/>
    </row>
    <row r="28" spans="2:15" x14ac:dyDescent="0.35">
      <c r="C28" s="23" t="s">
        <v>29</v>
      </c>
      <c r="D28" s="23">
        <v>2</v>
      </c>
      <c r="K28" s="1" t="s">
        <v>29</v>
      </c>
      <c r="L28" s="1">
        <v>1</v>
      </c>
      <c r="M28" s="1">
        <v>2</v>
      </c>
      <c r="N28" s="1">
        <f>L28*$D$28</f>
        <v>2</v>
      </c>
      <c r="O28" s="1">
        <f>M28*$D$28</f>
        <v>4</v>
      </c>
    </row>
    <row r="29" spans="2:15" x14ac:dyDescent="0.35">
      <c r="C29" s="25"/>
      <c r="D29" s="24"/>
      <c r="E29" s="25"/>
    </row>
    <row r="30" spans="2:15" x14ac:dyDescent="0.35">
      <c r="C30" s="25"/>
      <c r="E30" s="23" t="s">
        <v>34</v>
      </c>
      <c r="F30" s="23">
        <v>1</v>
      </c>
      <c r="K30" s="1" t="s">
        <v>34</v>
      </c>
      <c r="L30" s="1">
        <v>1</v>
      </c>
      <c r="M30" s="1">
        <v>1</v>
      </c>
      <c r="N30" s="1">
        <f>L30*$F30*$D$28</f>
        <v>2</v>
      </c>
      <c r="O30" s="1">
        <f t="shared" ref="O30:O32" si="4">M30*$F30*$D$28</f>
        <v>2</v>
      </c>
    </row>
    <row r="31" spans="2:15" x14ac:dyDescent="0.35">
      <c r="C31" s="25"/>
      <c r="E31" s="23" t="s">
        <v>35</v>
      </c>
      <c r="F31" s="23">
        <v>1</v>
      </c>
      <c r="K31" s="1" t="s">
        <v>35</v>
      </c>
      <c r="L31" s="1">
        <v>1</v>
      </c>
      <c r="M31" s="1">
        <v>1</v>
      </c>
      <c r="N31" s="1">
        <f t="shared" ref="N31:N32" si="5">L31*$F31*$D$28</f>
        <v>2</v>
      </c>
      <c r="O31" s="1">
        <f t="shared" si="4"/>
        <v>2</v>
      </c>
    </row>
    <row r="32" spans="2:15" x14ac:dyDescent="0.35">
      <c r="C32" s="25"/>
      <c r="E32" s="23" t="s">
        <v>36</v>
      </c>
      <c r="F32" s="23">
        <v>2</v>
      </c>
      <c r="K32" s="1" t="s">
        <v>36</v>
      </c>
      <c r="L32" s="1">
        <v>1</v>
      </c>
      <c r="M32" s="1">
        <v>1</v>
      </c>
      <c r="N32" s="1">
        <f t="shared" si="5"/>
        <v>4</v>
      </c>
      <c r="O32" s="1">
        <f t="shared" si="4"/>
        <v>4</v>
      </c>
    </row>
    <row r="33" spans="3:15" x14ac:dyDescent="0.35">
      <c r="C33" s="25"/>
      <c r="E33" s="24"/>
      <c r="F33" s="24"/>
      <c r="G33" s="25"/>
    </row>
    <row r="34" spans="3:15" x14ac:dyDescent="0.35">
      <c r="C34" s="25"/>
      <c r="G34" s="23" t="s">
        <v>37</v>
      </c>
      <c r="H34" s="23">
        <v>1</v>
      </c>
      <c r="K34" s="1" t="s">
        <v>37</v>
      </c>
    </row>
    <row r="35" spans="3:15" x14ac:dyDescent="0.35">
      <c r="C35" s="25"/>
      <c r="G35" s="23" t="s">
        <v>38</v>
      </c>
      <c r="H35" s="23">
        <v>1</v>
      </c>
      <c r="K35" s="1" t="s">
        <v>38</v>
      </c>
    </row>
    <row r="36" spans="3:15" x14ac:dyDescent="0.35">
      <c r="C36" s="25"/>
      <c r="G36" s="24"/>
      <c r="H36" s="24"/>
    </row>
    <row r="37" spans="3:15" x14ac:dyDescent="0.35">
      <c r="C37" s="23" t="s">
        <v>39</v>
      </c>
      <c r="D37" s="23">
        <v>3</v>
      </c>
      <c r="K37" s="1" t="s">
        <v>39</v>
      </c>
      <c r="L37" s="1">
        <v>1</v>
      </c>
      <c r="M37" s="1">
        <v>2</v>
      </c>
      <c r="N37" s="1">
        <f>L37*$D37</f>
        <v>3</v>
      </c>
      <c r="O37" s="1">
        <f>M37*$D37</f>
        <v>6</v>
      </c>
    </row>
    <row r="38" spans="3:15" x14ac:dyDescent="0.35">
      <c r="C38" s="25"/>
      <c r="D38" s="24"/>
      <c r="E38" s="25"/>
    </row>
    <row r="39" spans="3:15" x14ac:dyDescent="0.35">
      <c r="C39" s="25"/>
      <c r="E39" s="23" t="s">
        <v>36</v>
      </c>
      <c r="F39" s="23">
        <v>1</v>
      </c>
      <c r="K39" s="1" t="s">
        <v>36</v>
      </c>
      <c r="L39" s="1">
        <v>1</v>
      </c>
      <c r="M39" s="1">
        <v>1</v>
      </c>
      <c r="N39" s="1">
        <f>L39*$F39*$D$37</f>
        <v>3</v>
      </c>
      <c r="O39" s="1">
        <f>M39*$F39*$D$37</f>
        <v>3</v>
      </c>
    </row>
    <row r="40" spans="3:15" x14ac:dyDescent="0.35">
      <c r="C40" s="25"/>
      <c r="E40" s="25"/>
      <c r="F40" s="24"/>
      <c r="G40" s="25"/>
    </row>
    <row r="41" spans="3:15" x14ac:dyDescent="0.35">
      <c r="C41" s="25"/>
      <c r="E41" s="25"/>
      <c r="G41" s="23" t="s">
        <v>37</v>
      </c>
      <c r="H41" s="23">
        <v>1</v>
      </c>
      <c r="K41" s="1" t="s">
        <v>37</v>
      </c>
    </row>
    <row r="42" spans="3:15" x14ac:dyDescent="0.35">
      <c r="C42" s="25"/>
      <c r="E42" s="25"/>
      <c r="G42" s="23" t="s">
        <v>38</v>
      </c>
      <c r="H42" s="23">
        <v>1</v>
      </c>
      <c r="K42" s="1" t="s">
        <v>38</v>
      </c>
    </row>
    <row r="43" spans="3:15" x14ac:dyDescent="0.35">
      <c r="C43" s="25"/>
      <c r="E43" s="25"/>
    </row>
    <row r="44" spans="3:15" x14ac:dyDescent="0.35">
      <c r="C44" s="25"/>
      <c r="E44" s="23" t="s">
        <v>40</v>
      </c>
      <c r="F44" s="23">
        <v>1</v>
      </c>
      <c r="K44" s="1" t="s">
        <v>40</v>
      </c>
      <c r="L44" s="1">
        <v>1</v>
      </c>
      <c r="M44" s="1">
        <v>1</v>
      </c>
      <c r="N44" s="1">
        <f>L44*$F44*$D$37</f>
        <v>3</v>
      </c>
      <c r="O44" s="1">
        <f t="shared" ref="O44:O45" si="6">M44*$F44*$D$37</f>
        <v>3</v>
      </c>
    </row>
    <row r="45" spans="3:15" x14ac:dyDescent="0.35">
      <c r="C45" s="25"/>
      <c r="E45" s="23" t="s">
        <v>41</v>
      </c>
      <c r="F45" s="23">
        <v>2</v>
      </c>
      <c r="K45" s="1" t="s">
        <v>41</v>
      </c>
      <c r="L45" s="1">
        <v>1</v>
      </c>
      <c r="M45" s="1">
        <v>1</v>
      </c>
      <c r="N45" s="1">
        <f t="shared" ref="N45" si="7">L45*$F45*$D$37</f>
        <v>6</v>
      </c>
      <c r="O45" s="1">
        <f t="shared" si="6"/>
        <v>6</v>
      </c>
    </row>
    <row r="46" spans="3:15" x14ac:dyDescent="0.35">
      <c r="C46" s="27"/>
    </row>
    <row r="47" spans="3:15" x14ac:dyDescent="0.35">
      <c r="C47" s="23" t="s">
        <v>43</v>
      </c>
      <c r="D47" s="23">
        <v>2</v>
      </c>
      <c r="K47" s="1" t="s">
        <v>43</v>
      </c>
      <c r="L47" s="1">
        <v>1</v>
      </c>
      <c r="M47" s="1">
        <v>1</v>
      </c>
      <c r="N47" s="1">
        <f>L47*$D47</f>
        <v>2</v>
      </c>
      <c r="O47" s="1">
        <f>M47*$D47</f>
        <v>2</v>
      </c>
    </row>
    <row r="48" spans="3:15" x14ac:dyDescent="0.35">
      <c r="C48" s="24"/>
      <c r="D48" s="24"/>
      <c r="E48" s="25"/>
    </row>
    <row r="49" spans="5:15" x14ac:dyDescent="0.35">
      <c r="E49" s="23" t="s">
        <v>44</v>
      </c>
      <c r="F49" s="23">
        <v>1</v>
      </c>
      <c r="K49" s="1" t="s">
        <v>44</v>
      </c>
    </row>
    <row r="50" spans="5:15" ht="15" thickBot="1" x14ac:dyDescent="0.4">
      <c r="E50" s="23" t="s">
        <v>45</v>
      </c>
      <c r="F50" s="23">
        <v>3</v>
      </c>
      <c r="K50" s="26" t="s">
        <v>45</v>
      </c>
      <c r="L50" s="26">
        <v>1</v>
      </c>
      <c r="M50" s="26">
        <v>1</v>
      </c>
      <c r="N50" s="26">
        <f>L50*$F50*$D$47</f>
        <v>6</v>
      </c>
      <c r="O50" s="26">
        <f>M50*$F50*$D$47</f>
        <v>6</v>
      </c>
    </row>
    <row r="51" spans="5:15" x14ac:dyDescent="0.35">
      <c r="N51" s="1">
        <f>SUM(N26:N50)</f>
        <v>34</v>
      </c>
      <c r="O51" s="28">
        <f>SUM(O26:O50)</f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37"/>
  <sheetViews>
    <sheetView showGridLines="0" zoomScaleNormal="100" workbookViewId="0">
      <pane ySplit="1" topLeftCell="A2" activePane="bottomLeft" state="frozen"/>
      <selection activeCell="B2" sqref="B2:B37"/>
      <selection pane="bottomLeft"/>
    </sheetView>
  </sheetViews>
  <sheetFormatPr defaultColWidth="12.26953125" defaultRowHeight="14.5" x14ac:dyDescent="0.35"/>
  <cols>
    <col min="1" max="1" width="12" style="5" bestFit="1" customWidth="1"/>
    <col min="2" max="2" width="21.81640625" style="1" bestFit="1" customWidth="1"/>
    <col min="3" max="3" width="19.453125" style="1" customWidth="1"/>
    <col min="4" max="4" width="23.6328125" style="1" customWidth="1"/>
    <col min="5" max="5" width="30.36328125" style="1" customWidth="1"/>
    <col min="6" max="6" width="23.26953125" bestFit="1" customWidth="1"/>
    <col min="7" max="7" width="16.453125" style="5" bestFit="1" customWidth="1"/>
    <col min="8" max="8" width="18.453125" style="2" customWidth="1"/>
    <col min="9" max="9" width="23.81640625" style="2" customWidth="1"/>
    <col min="10" max="16384" width="12.26953125" style="1"/>
  </cols>
  <sheetData>
    <row r="1" spans="1:9" x14ac:dyDescent="0.35">
      <c r="A1" s="1" t="s">
        <v>9</v>
      </c>
      <c r="B1" s="1" t="s">
        <v>10</v>
      </c>
      <c r="C1" s="1" t="s">
        <v>8</v>
      </c>
      <c r="D1" s="1" t="s">
        <v>4</v>
      </c>
      <c r="E1" s="2" t="s">
        <v>26</v>
      </c>
      <c r="F1" s="2" t="s">
        <v>32</v>
      </c>
      <c r="G1" s="2" t="s">
        <v>25</v>
      </c>
      <c r="H1" s="1"/>
      <c r="I1" s="1"/>
    </row>
    <row r="2" spans="1:9" x14ac:dyDescent="0.35">
      <c r="A2" s="8" t="s">
        <v>66</v>
      </c>
      <c r="B2" s="1">
        <v>1</v>
      </c>
      <c r="C2" s="1" t="s">
        <v>29</v>
      </c>
      <c r="D2" s="1" t="s">
        <v>67</v>
      </c>
      <c r="E2" s="17">
        <v>42370</v>
      </c>
      <c r="F2" s="2">
        <v>10</v>
      </c>
      <c r="G2" s="2">
        <f>demand_table[[#This Row],[request_date]]-day_zero</f>
        <v>0</v>
      </c>
      <c r="I2" s="1"/>
    </row>
    <row r="3" spans="1:9" x14ac:dyDescent="0.35">
      <c r="A3" s="8" t="s">
        <v>66</v>
      </c>
      <c r="B3" s="1">
        <v>2</v>
      </c>
      <c r="C3" s="1" t="s">
        <v>29</v>
      </c>
      <c r="D3" s="1" t="s">
        <v>67</v>
      </c>
      <c r="E3" s="17">
        <v>42401</v>
      </c>
      <c r="F3" s="2">
        <v>20</v>
      </c>
      <c r="G3" s="2">
        <f>demand_table[[#This Row],[request_date]]-day_zero</f>
        <v>31</v>
      </c>
      <c r="I3" s="1"/>
    </row>
    <row r="4" spans="1:9" x14ac:dyDescent="0.35">
      <c r="A4" s="8" t="s">
        <v>66</v>
      </c>
      <c r="B4" s="1">
        <v>3</v>
      </c>
      <c r="C4" s="1" t="s">
        <v>29</v>
      </c>
      <c r="D4" s="1" t="s">
        <v>67</v>
      </c>
      <c r="E4" s="17">
        <v>42430</v>
      </c>
      <c r="F4" s="2">
        <v>10</v>
      </c>
      <c r="G4" s="2">
        <f>demand_table[[#This Row],[request_date]]-day_zero</f>
        <v>60</v>
      </c>
      <c r="I4" s="1"/>
    </row>
    <row r="5" spans="1:9" x14ac:dyDescent="0.35">
      <c r="A5" s="8" t="s">
        <v>66</v>
      </c>
      <c r="B5" s="1">
        <v>4</v>
      </c>
      <c r="C5" s="1" t="s">
        <v>29</v>
      </c>
      <c r="D5" s="1" t="s">
        <v>67</v>
      </c>
      <c r="E5" s="17">
        <v>42461</v>
      </c>
      <c r="F5" s="2">
        <v>30</v>
      </c>
      <c r="G5" s="2">
        <f>demand_table[[#This Row],[request_date]]-day_zero</f>
        <v>91</v>
      </c>
      <c r="I5" s="1"/>
    </row>
    <row r="6" spans="1:9" x14ac:dyDescent="0.35">
      <c r="A6" s="8" t="s">
        <v>66</v>
      </c>
      <c r="B6" s="1">
        <v>5</v>
      </c>
      <c r="C6" s="1" t="s">
        <v>29</v>
      </c>
      <c r="D6" s="1" t="s">
        <v>67</v>
      </c>
      <c r="E6" s="17">
        <v>42491</v>
      </c>
      <c r="F6" s="2">
        <v>0</v>
      </c>
      <c r="G6" s="2">
        <f>demand_table[[#This Row],[request_date]]-day_zero</f>
        <v>121</v>
      </c>
      <c r="I6" s="1"/>
    </row>
    <row r="7" spans="1:9" x14ac:dyDescent="0.35">
      <c r="A7" s="8" t="s">
        <v>66</v>
      </c>
      <c r="B7" s="1">
        <v>6</v>
      </c>
      <c r="C7" s="1" t="s">
        <v>29</v>
      </c>
      <c r="D7" s="1" t="s">
        <v>67</v>
      </c>
      <c r="E7" s="17">
        <v>42522</v>
      </c>
      <c r="F7" s="2">
        <v>40</v>
      </c>
      <c r="G7" s="2">
        <f>demand_table[[#This Row],[request_date]]-day_zero</f>
        <v>152</v>
      </c>
      <c r="I7" s="1"/>
    </row>
    <row r="8" spans="1:9" x14ac:dyDescent="0.35">
      <c r="A8" s="8" t="s">
        <v>66</v>
      </c>
      <c r="B8" s="1">
        <v>7</v>
      </c>
      <c r="C8" s="1" t="s">
        <v>29</v>
      </c>
      <c r="D8" s="1" t="s">
        <v>67</v>
      </c>
      <c r="E8" s="17">
        <v>42552</v>
      </c>
      <c r="F8" s="2">
        <v>30</v>
      </c>
      <c r="G8" s="2">
        <f>demand_table[[#This Row],[request_date]]-day_zero</f>
        <v>182</v>
      </c>
      <c r="I8" s="1"/>
    </row>
    <row r="9" spans="1:9" x14ac:dyDescent="0.35">
      <c r="A9" s="8" t="s">
        <v>66</v>
      </c>
      <c r="B9" s="1">
        <v>8</v>
      </c>
      <c r="C9" s="1" t="s">
        <v>29</v>
      </c>
      <c r="D9" s="1" t="s">
        <v>67</v>
      </c>
      <c r="E9" s="17">
        <v>42583</v>
      </c>
      <c r="F9" s="2">
        <v>0</v>
      </c>
      <c r="G9" s="2">
        <f>demand_table[[#This Row],[request_date]]-day_zero</f>
        <v>213</v>
      </c>
      <c r="I9" s="1"/>
    </row>
    <row r="10" spans="1:9" x14ac:dyDescent="0.35">
      <c r="A10" s="8" t="s">
        <v>66</v>
      </c>
      <c r="B10" s="1">
        <v>9</v>
      </c>
      <c r="C10" s="1" t="s">
        <v>29</v>
      </c>
      <c r="D10" s="1" t="s">
        <v>67</v>
      </c>
      <c r="E10" s="17">
        <v>42614</v>
      </c>
      <c r="F10" s="2">
        <v>50</v>
      </c>
      <c r="G10" s="2">
        <f>demand_table[[#This Row],[request_date]]-day_zero</f>
        <v>244</v>
      </c>
      <c r="I10" s="1"/>
    </row>
    <row r="11" spans="1:9" x14ac:dyDescent="0.35">
      <c r="A11" s="8" t="s">
        <v>66</v>
      </c>
      <c r="B11" s="1">
        <v>10</v>
      </c>
      <c r="C11" s="1" t="s">
        <v>29</v>
      </c>
      <c r="D11" s="1" t="s">
        <v>67</v>
      </c>
      <c r="E11" s="17">
        <v>42644</v>
      </c>
      <c r="F11" s="2">
        <v>10</v>
      </c>
      <c r="G11" s="2">
        <f>demand_table[[#This Row],[request_date]]-day_zero</f>
        <v>274</v>
      </c>
      <c r="I11" s="1"/>
    </row>
    <row r="12" spans="1:9" x14ac:dyDescent="0.35">
      <c r="A12" s="8" t="s">
        <v>66</v>
      </c>
      <c r="B12" s="1">
        <v>11</v>
      </c>
      <c r="C12" s="1" t="s">
        <v>29</v>
      </c>
      <c r="D12" s="1" t="s">
        <v>67</v>
      </c>
      <c r="E12" s="17">
        <v>42675</v>
      </c>
      <c r="F12" s="2">
        <v>30</v>
      </c>
      <c r="G12" s="2">
        <f>demand_table[[#This Row],[request_date]]-day_zero</f>
        <v>305</v>
      </c>
      <c r="I12" s="1"/>
    </row>
    <row r="13" spans="1:9" x14ac:dyDescent="0.35">
      <c r="A13" s="8" t="s">
        <v>66</v>
      </c>
      <c r="B13" s="1">
        <v>12</v>
      </c>
      <c r="C13" s="1" t="s">
        <v>29</v>
      </c>
      <c r="D13" s="1" t="s">
        <v>67</v>
      </c>
      <c r="E13" s="17">
        <v>42705</v>
      </c>
      <c r="F13" s="2">
        <v>10</v>
      </c>
      <c r="G13" s="2">
        <f>demand_table[[#This Row],[request_date]]-day_zero</f>
        <v>335</v>
      </c>
      <c r="I13" s="1"/>
    </row>
    <row r="14" spans="1:9" x14ac:dyDescent="0.35">
      <c r="A14" s="8" t="s">
        <v>66</v>
      </c>
      <c r="B14" s="1">
        <v>13</v>
      </c>
      <c r="C14" s="1" t="s">
        <v>39</v>
      </c>
      <c r="D14" s="1" t="s">
        <v>68</v>
      </c>
      <c r="E14" s="17">
        <v>42370</v>
      </c>
      <c r="F14" s="2">
        <v>10</v>
      </c>
      <c r="G14" s="2">
        <f>demand_table[[#This Row],[request_date]]-day_zero</f>
        <v>0</v>
      </c>
      <c r="I14" s="1"/>
    </row>
    <row r="15" spans="1:9" x14ac:dyDescent="0.35">
      <c r="A15" s="8" t="s">
        <v>66</v>
      </c>
      <c r="B15" s="1">
        <v>14</v>
      </c>
      <c r="C15" s="1" t="s">
        <v>39</v>
      </c>
      <c r="D15" s="1" t="s">
        <v>68</v>
      </c>
      <c r="E15" s="17">
        <v>42401</v>
      </c>
      <c r="F15" s="2">
        <v>20</v>
      </c>
      <c r="G15" s="2">
        <f>demand_table[[#This Row],[request_date]]-day_zero</f>
        <v>31</v>
      </c>
      <c r="I15" s="1"/>
    </row>
    <row r="16" spans="1:9" x14ac:dyDescent="0.35">
      <c r="A16" s="8" t="s">
        <v>66</v>
      </c>
      <c r="B16" s="1">
        <v>15</v>
      </c>
      <c r="C16" s="1" t="s">
        <v>39</v>
      </c>
      <c r="D16" s="1" t="s">
        <v>68</v>
      </c>
      <c r="E16" s="17">
        <v>42430</v>
      </c>
      <c r="F16" s="2">
        <v>10</v>
      </c>
      <c r="G16" s="2">
        <f>demand_table[[#This Row],[request_date]]-day_zero</f>
        <v>60</v>
      </c>
      <c r="I16" s="1"/>
    </row>
    <row r="17" spans="1:9" x14ac:dyDescent="0.35">
      <c r="A17" s="8" t="s">
        <v>66</v>
      </c>
      <c r="B17" s="1">
        <v>16</v>
      </c>
      <c r="C17" s="1" t="s">
        <v>39</v>
      </c>
      <c r="D17" s="1" t="s">
        <v>68</v>
      </c>
      <c r="E17" s="17">
        <v>42461</v>
      </c>
      <c r="F17" s="2">
        <v>20</v>
      </c>
      <c r="G17" s="2">
        <f>demand_table[[#This Row],[request_date]]-day_zero</f>
        <v>91</v>
      </c>
      <c r="I17" s="1"/>
    </row>
    <row r="18" spans="1:9" x14ac:dyDescent="0.35">
      <c r="A18" s="8" t="s">
        <v>66</v>
      </c>
      <c r="B18" s="1">
        <v>17</v>
      </c>
      <c r="C18" s="1" t="s">
        <v>39</v>
      </c>
      <c r="D18" s="1" t="s">
        <v>68</v>
      </c>
      <c r="E18" s="17">
        <v>42491</v>
      </c>
      <c r="F18" s="2">
        <v>0</v>
      </c>
      <c r="G18" s="2">
        <f>demand_table[[#This Row],[request_date]]-day_zero</f>
        <v>121</v>
      </c>
      <c r="I18" s="1"/>
    </row>
    <row r="19" spans="1:9" x14ac:dyDescent="0.35">
      <c r="A19" s="8" t="s">
        <v>66</v>
      </c>
      <c r="B19" s="1">
        <v>18</v>
      </c>
      <c r="C19" s="1" t="s">
        <v>39</v>
      </c>
      <c r="D19" s="1" t="s">
        <v>68</v>
      </c>
      <c r="E19" s="17">
        <v>42522</v>
      </c>
      <c r="F19" s="2">
        <v>20</v>
      </c>
      <c r="G19" s="2">
        <f>demand_table[[#This Row],[request_date]]-day_zero</f>
        <v>152</v>
      </c>
      <c r="I19" s="1"/>
    </row>
    <row r="20" spans="1:9" x14ac:dyDescent="0.35">
      <c r="A20" s="8" t="s">
        <v>66</v>
      </c>
      <c r="B20" s="1">
        <v>19</v>
      </c>
      <c r="C20" s="1" t="s">
        <v>39</v>
      </c>
      <c r="D20" s="1" t="s">
        <v>68</v>
      </c>
      <c r="E20" s="17">
        <v>42552</v>
      </c>
      <c r="F20" s="2">
        <v>30</v>
      </c>
      <c r="G20" s="2">
        <f>demand_table[[#This Row],[request_date]]-day_zero</f>
        <v>182</v>
      </c>
      <c r="I20" s="1"/>
    </row>
    <row r="21" spans="1:9" x14ac:dyDescent="0.35">
      <c r="A21" s="8" t="s">
        <v>66</v>
      </c>
      <c r="B21" s="1">
        <v>20</v>
      </c>
      <c r="C21" s="1" t="s">
        <v>39</v>
      </c>
      <c r="D21" s="1" t="s">
        <v>68</v>
      </c>
      <c r="E21" s="17">
        <v>42583</v>
      </c>
      <c r="F21" s="2">
        <v>0</v>
      </c>
      <c r="G21" s="2">
        <f>demand_table[[#This Row],[request_date]]-day_zero</f>
        <v>213</v>
      </c>
      <c r="I21" s="1"/>
    </row>
    <row r="22" spans="1:9" x14ac:dyDescent="0.35">
      <c r="A22" s="8" t="s">
        <v>66</v>
      </c>
      <c r="B22" s="1">
        <v>21</v>
      </c>
      <c r="C22" s="1" t="s">
        <v>39</v>
      </c>
      <c r="D22" s="1" t="s">
        <v>68</v>
      </c>
      <c r="E22" s="17">
        <v>42614</v>
      </c>
      <c r="F22" s="2">
        <v>30</v>
      </c>
      <c r="G22" s="2">
        <f>demand_table[[#This Row],[request_date]]-day_zero</f>
        <v>244</v>
      </c>
      <c r="I22" s="1"/>
    </row>
    <row r="23" spans="1:9" x14ac:dyDescent="0.35">
      <c r="A23" s="8" t="s">
        <v>66</v>
      </c>
      <c r="B23" s="1">
        <v>22</v>
      </c>
      <c r="C23" s="1" t="s">
        <v>39</v>
      </c>
      <c r="D23" s="1" t="s">
        <v>68</v>
      </c>
      <c r="E23" s="17">
        <v>42644</v>
      </c>
      <c r="F23" s="2">
        <v>20</v>
      </c>
      <c r="G23" s="2">
        <f>demand_table[[#This Row],[request_date]]-day_zero</f>
        <v>274</v>
      </c>
      <c r="I23" s="1"/>
    </row>
    <row r="24" spans="1:9" x14ac:dyDescent="0.35">
      <c r="A24" s="8" t="s">
        <v>66</v>
      </c>
      <c r="B24" s="1">
        <v>23</v>
      </c>
      <c r="C24" s="1" t="s">
        <v>39</v>
      </c>
      <c r="D24" s="1" t="s">
        <v>68</v>
      </c>
      <c r="E24" s="17">
        <v>42675</v>
      </c>
      <c r="F24" s="2">
        <v>20</v>
      </c>
      <c r="G24" s="2">
        <f>demand_table[[#This Row],[request_date]]-day_zero</f>
        <v>305</v>
      </c>
      <c r="I24" s="1"/>
    </row>
    <row r="25" spans="1:9" x14ac:dyDescent="0.35">
      <c r="A25" s="8" t="s">
        <v>66</v>
      </c>
      <c r="B25" s="1">
        <v>24</v>
      </c>
      <c r="C25" s="1" t="s">
        <v>39</v>
      </c>
      <c r="D25" s="1" t="s">
        <v>68</v>
      </c>
      <c r="E25" s="17">
        <v>42705</v>
      </c>
      <c r="F25" s="2">
        <v>10</v>
      </c>
      <c r="G25" s="2">
        <f>demand_table[[#This Row],[request_date]]-day_zero</f>
        <v>335</v>
      </c>
      <c r="I25" s="1"/>
    </row>
    <row r="26" spans="1:9" x14ac:dyDescent="0.35">
      <c r="A26" s="8" t="s">
        <v>66</v>
      </c>
      <c r="B26" s="1">
        <v>25</v>
      </c>
      <c r="C26" s="1" t="s">
        <v>42</v>
      </c>
      <c r="D26" s="1" t="s">
        <v>69</v>
      </c>
      <c r="E26" s="17">
        <v>42370</v>
      </c>
      <c r="F26" s="2">
        <v>20</v>
      </c>
      <c r="G26" s="2">
        <f>demand_table[[#This Row],[request_date]]-day_zero</f>
        <v>0</v>
      </c>
      <c r="I26" s="1"/>
    </row>
    <row r="27" spans="1:9" x14ac:dyDescent="0.35">
      <c r="A27" s="8" t="s">
        <v>66</v>
      </c>
      <c r="B27" s="1">
        <v>26</v>
      </c>
      <c r="C27" s="1" t="s">
        <v>42</v>
      </c>
      <c r="D27" s="1" t="s">
        <v>69</v>
      </c>
      <c r="E27" s="17">
        <v>42401</v>
      </c>
      <c r="F27" s="2">
        <v>30</v>
      </c>
      <c r="G27" s="2">
        <f>demand_table[[#This Row],[request_date]]-day_zero</f>
        <v>31</v>
      </c>
      <c r="I27" s="1"/>
    </row>
    <row r="28" spans="1:9" x14ac:dyDescent="0.35">
      <c r="A28" s="8" t="s">
        <v>66</v>
      </c>
      <c r="B28" s="1">
        <v>27</v>
      </c>
      <c r="C28" s="1" t="s">
        <v>42</v>
      </c>
      <c r="D28" s="1" t="s">
        <v>69</v>
      </c>
      <c r="E28" s="17">
        <v>42430</v>
      </c>
      <c r="F28" s="2">
        <v>10</v>
      </c>
      <c r="G28" s="2">
        <f>demand_table[[#This Row],[request_date]]-day_zero</f>
        <v>60</v>
      </c>
      <c r="I28" s="1"/>
    </row>
    <row r="29" spans="1:9" x14ac:dyDescent="0.35">
      <c r="A29" s="8" t="s">
        <v>66</v>
      </c>
      <c r="B29" s="1">
        <v>28</v>
      </c>
      <c r="C29" s="1" t="s">
        <v>42</v>
      </c>
      <c r="D29" s="1" t="s">
        <v>69</v>
      </c>
      <c r="E29" s="17">
        <v>42461</v>
      </c>
      <c r="F29" s="2">
        <v>5</v>
      </c>
      <c r="G29" s="2">
        <f>demand_table[[#This Row],[request_date]]-day_zero</f>
        <v>91</v>
      </c>
      <c r="I29" s="1"/>
    </row>
    <row r="30" spans="1:9" x14ac:dyDescent="0.35">
      <c r="A30" s="8" t="s">
        <v>66</v>
      </c>
      <c r="B30" s="1">
        <v>29</v>
      </c>
      <c r="C30" s="1" t="s">
        <v>42</v>
      </c>
      <c r="D30" s="1" t="s">
        <v>69</v>
      </c>
      <c r="E30" s="17">
        <v>42491</v>
      </c>
      <c r="F30" s="2">
        <v>10</v>
      </c>
      <c r="G30" s="2">
        <f>demand_table[[#This Row],[request_date]]-day_zero</f>
        <v>121</v>
      </c>
      <c r="I30" s="1"/>
    </row>
    <row r="31" spans="1:9" x14ac:dyDescent="0.35">
      <c r="A31" s="8" t="s">
        <v>66</v>
      </c>
      <c r="B31" s="1">
        <v>30</v>
      </c>
      <c r="C31" s="1" t="s">
        <v>42</v>
      </c>
      <c r="D31" s="1" t="s">
        <v>69</v>
      </c>
      <c r="E31" s="17">
        <v>42522</v>
      </c>
      <c r="F31" s="2">
        <v>10</v>
      </c>
      <c r="G31" s="2">
        <f>demand_table[[#This Row],[request_date]]-day_zero</f>
        <v>152</v>
      </c>
      <c r="I31" s="1"/>
    </row>
    <row r="32" spans="1:9" x14ac:dyDescent="0.35">
      <c r="A32" s="8" t="s">
        <v>66</v>
      </c>
      <c r="B32" s="1">
        <v>31</v>
      </c>
      <c r="C32" s="1" t="s">
        <v>42</v>
      </c>
      <c r="D32" s="1" t="s">
        <v>69</v>
      </c>
      <c r="E32" s="17">
        <v>42552</v>
      </c>
      <c r="F32" s="2">
        <v>30</v>
      </c>
      <c r="G32" s="2">
        <f>demand_table[[#This Row],[request_date]]-day_zero</f>
        <v>182</v>
      </c>
      <c r="I32" s="1"/>
    </row>
    <row r="33" spans="1:9" x14ac:dyDescent="0.35">
      <c r="A33" s="8" t="s">
        <v>66</v>
      </c>
      <c r="B33" s="1">
        <v>32</v>
      </c>
      <c r="C33" s="1" t="s">
        <v>42</v>
      </c>
      <c r="D33" s="1" t="s">
        <v>69</v>
      </c>
      <c r="E33" s="17">
        <v>42583</v>
      </c>
      <c r="F33" s="2">
        <v>0</v>
      </c>
      <c r="G33" s="2">
        <f>demand_table[[#This Row],[request_date]]-day_zero</f>
        <v>213</v>
      </c>
      <c r="I33" s="1"/>
    </row>
    <row r="34" spans="1:9" x14ac:dyDescent="0.35">
      <c r="A34" s="8" t="s">
        <v>66</v>
      </c>
      <c r="B34" s="1">
        <v>33</v>
      </c>
      <c r="C34" s="1" t="s">
        <v>42</v>
      </c>
      <c r="D34" s="1" t="s">
        <v>69</v>
      </c>
      <c r="E34" s="17">
        <v>42614</v>
      </c>
      <c r="F34" s="2">
        <v>20</v>
      </c>
      <c r="G34" s="2">
        <f>demand_table[[#This Row],[request_date]]-day_zero</f>
        <v>244</v>
      </c>
      <c r="I34" s="1"/>
    </row>
    <row r="35" spans="1:9" x14ac:dyDescent="0.35">
      <c r="A35" s="8" t="s">
        <v>66</v>
      </c>
      <c r="B35" s="1">
        <v>34</v>
      </c>
      <c r="C35" s="1" t="s">
        <v>42</v>
      </c>
      <c r="D35" s="1" t="s">
        <v>69</v>
      </c>
      <c r="E35" s="17">
        <v>42644</v>
      </c>
      <c r="F35" s="2">
        <v>10</v>
      </c>
      <c r="G35" s="2">
        <f>demand_table[[#This Row],[request_date]]-day_zero</f>
        <v>274</v>
      </c>
      <c r="I35" s="1"/>
    </row>
    <row r="36" spans="1:9" x14ac:dyDescent="0.35">
      <c r="A36" s="8" t="s">
        <v>66</v>
      </c>
      <c r="B36" s="1">
        <v>35</v>
      </c>
      <c r="C36" s="1" t="s">
        <v>42</v>
      </c>
      <c r="D36" s="1" t="s">
        <v>69</v>
      </c>
      <c r="E36" s="17">
        <v>42675</v>
      </c>
      <c r="F36" s="2">
        <v>30</v>
      </c>
      <c r="G36" s="2">
        <f>demand_table[[#This Row],[request_date]]-day_zero</f>
        <v>305</v>
      </c>
      <c r="I36" s="1"/>
    </row>
    <row r="37" spans="1:9" x14ac:dyDescent="0.35">
      <c r="A37" s="8" t="s">
        <v>66</v>
      </c>
      <c r="B37" s="1">
        <v>36</v>
      </c>
      <c r="C37" s="1" t="s">
        <v>42</v>
      </c>
      <c r="D37" s="1" t="s">
        <v>69</v>
      </c>
      <c r="E37" s="17">
        <v>42705</v>
      </c>
      <c r="F37" s="2">
        <v>10</v>
      </c>
      <c r="G37" s="2">
        <f>demand_table[[#This Row],[request_date]]-day_zero</f>
        <v>335</v>
      </c>
      <c r="I37" s="1"/>
    </row>
  </sheetData>
  <dataValidations disablePrompts="1" count="1">
    <dataValidation type="list" allowBlank="1" showInputMessage="1" showErrorMessage="1" sqref="C2:C37">
      <formula1>codes_list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14"/>
  <sheetViews>
    <sheetView showGridLines="0" zoomScaleNormal="100" workbookViewId="0">
      <pane ySplit="1" topLeftCell="A2" activePane="bottomLeft" state="frozen"/>
      <selection activeCell="B2" sqref="B2:B37"/>
      <selection pane="bottomLeft" activeCell="A2" sqref="A2"/>
    </sheetView>
  </sheetViews>
  <sheetFormatPr defaultColWidth="12.26953125" defaultRowHeight="14.5" x14ac:dyDescent="0.35"/>
  <cols>
    <col min="1" max="1" width="20.08984375" style="7" customWidth="1"/>
    <col min="2" max="3" width="20.08984375" style="1" customWidth="1"/>
    <col min="4" max="16384" width="12.26953125" style="1"/>
  </cols>
  <sheetData>
    <row r="1" spans="1:3" s="3" customFormat="1" x14ac:dyDescent="0.35">
      <c r="A1" s="6" t="s">
        <v>11</v>
      </c>
      <c r="B1" s="3" t="s">
        <v>12</v>
      </c>
      <c r="C1" s="3" t="s">
        <v>28</v>
      </c>
    </row>
    <row r="2" spans="1:3" x14ac:dyDescent="0.35">
      <c r="A2" s="7" t="s">
        <v>29</v>
      </c>
      <c r="B2" s="1" t="s">
        <v>34</v>
      </c>
      <c r="C2" s="2">
        <v>1</v>
      </c>
    </row>
    <row r="3" spans="1:3" x14ac:dyDescent="0.35">
      <c r="A3" s="7" t="s">
        <v>29</v>
      </c>
      <c r="B3" s="1" t="s">
        <v>35</v>
      </c>
      <c r="C3" s="2">
        <v>1</v>
      </c>
    </row>
    <row r="4" spans="1:3" x14ac:dyDescent="0.35">
      <c r="A4" s="7" t="s">
        <v>29</v>
      </c>
      <c r="B4" s="1" t="s">
        <v>36</v>
      </c>
      <c r="C4" s="2">
        <v>2</v>
      </c>
    </row>
    <row r="5" spans="1:3" x14ac:dyDescent="0.35">
      <c r="A5" s="7" t="s">
        <v>36</v>
      </c>
      <c r="B5" s="1" t="s">
        <v>37</v>
      </c>
      <c r="C5" s="2">
        <v>1</v>
      </c>
    </row>
    <row r="6" spans="1:3" x14ac:dyDescent="0.35">
      <c r="A6" s="7" t="s">
        <v>36</v>
      </c>
      <c r="B6" s="1" t="s">
        <v>38</v>
      </c>
      <c r="C6" s="2">
        <v>1</v>
      </c>
    </row>
    <row r="7" spans="1:3" x14ac:dyDescent="0.35">
      <c r="A7" s="7" t="s">
        <v>39</v>
      </c>
      <c r="B7" s="1" t="s">
        <v>36</v>
      </c>
      <c r="C7" s="2">
        <v>1</v>
      </c>
    </row>
    <row r="8" spans="1:3" x14ac:dyDescent="0.35">
      <c r="A8" s="7" t="s">
        <v>39</v>
      </c>
      <c r="B8" s="1" t="s">
        <v>40</v>
      </c>
      <c r="C8" s="2">
        <v>1</v>
      </c>
    </row>
    <row r="9" spans="1:3" x14ac:dyDescent="0.35">
      <c r="A9" s="7" t="s">
        <v>39</v>
      </c>
      <c r="B9" s="1" t="s">
        <v>41</v>
      </c>
      <c r="C9" s="2">
        <v>2</v>
      </c>
    </row>
    <row r="10" spans="1:3" x14ac:dyDescent="0.35">
      <c r="A10" s="7" t="s">
        <v>42</v>
      </c>
      <c r="B10" s="1" t="s">
        <v>29</v>
      </c>
      <c r="C10" s="2">
        <v>2</v>
      </c>
    </row>
    <row r="11" spans="1:3" x14ac:dyDescent="0.35">
      <c r="A11" s="7" t="s">
        <v>42</v>
      </c>
      <c r="B11" s="1" t="s">
        <v>39</v>
      </c>
      <c r="C11" s="2">
        <v>3</v>
      </c>
    </row>
    <row r="12" spans="1:3" x14ac:dyDescent="0.35">
      <c r="A12" s="7" t="s">
        <v>42</v>
      </c>
      <c r="B12" s="1" t="s">
        <v>43</v>
      </c>
      <c r="C12" s="2">
        <v>2</v>
      </c>
    </row>
    <row r="13" spans="1:3" x14ac:dyDescent="0.35">
      <c r="A13" s="7" t="s">
        <v>43</v>
      </c>
      <c r="B13" s="1" t="s">
        <v>44</v>
      </c>
      <c r="C13" s="2">
        <v>1</v>
      </c>
    </row>
    <row r="14" spans="1:3" x14ac:dyDescent="0.35">
      <c r="A14" s="7" t="s">
        <v>43</v>
      </c>
      <c r="B14" s="1" t="s">
        <v>45</v>
      </c>
      <c r="C14" s="2">
        <v>3</v>
      </c>
    </row>
  </sheetData>
  <dataValidations count="1">
    <dataValidation type="list" allowBlank="1" showInputMessage="1" showErrorMessage="1" sqref="A2:B14">
      <formula1>codes_list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H14"/>
  <sheetViews>
    <sheetView showGridLines="0" zoomScaleNormal="100" workbookViewId="0">
      <pane ySplit="1" topLeftCell="A2" activePane="bottomLeft" state="frozen"/>
      <selection activeCell="B2" sqref="B2:B37"/>
      <selection pane="bottomLeft"/>
    </sheetView>
  </sheetViews>
  <sheetFormatPr defaultColWidth="9.26953125" defaultRowHeight="14.5" x14ac:dyDescent="0.35"/>
  <cols>
    <col min="1" max="1" width="18.453125" style="7" bestFit="1" customWidth="1"/>
    <col min="2" max="2" width="24.7265625" style="1" customWidth="1"/>
    <col min="3" max="3" width="20.08984375" style="1" customWidth="1"/>
    <col min="4" max="7" width="20" style="2" customWidth="1"/>
    <col min="8" max="8" width="20" style="1" customWidth="1"/>
    <col min="9" max="16384" width="9.26953125" style="1"/>
  </cols>
  <sheetData>
    <row r="1" spans="1:8" s="3" customFormat="1" x14ac:dyDescent="0.35">
      <c r="A1" s="6" t="s">
        <v>11</v>
      </c>
      <c r="B1" s="3" t="s">
        <v>13</v>
      </c>
      <c r="C1" s="3" t="s">
        <v>14</v>
      </c>
      <c r="D1" s="4" t="s">
        <v>0</v>
      </c>
      <c r="E1" s="4" t="s">
        <v>2</v>
      </c>
      <c r="F1" s="4" t="s">
        <v>33</v>
      </c>
      <c r="G1" s="3" t="s">
        <v>3</v>
      </c>
      <c r="H1" s="3" t="s">
        <v>24</v>
      </c>
    </row>
    <row r="2" spans="1:8" x14ac:dyDescent="0.35">
      <c r="A2" s="9" t="s">
        <v>29</v>
      </c>
      <c r="B2" s="10" t="s">
        <v>65</v>
      </c>
      <c r="C2" s="10" t="s">
        <v>47</v>
      </c>
      <c r="D2" s="13">
        <v>1</v>
      </c>
      <c r="E2" s="13">
        <v>2</v>
      </c>
      <c r="F2" s="13">
        <v>2</v>
      </c>
      <c r="G2" s="13">
        <v>1</v>
      </c>
      <c r="H2" s="13"/>
    </row>
    <row r="3" spans="1:8" x14ac:dyDescent="0.35">
      <c r="A3" s="9" t="s">
        <v>34</v>
      </c>
      <c r="B3" s="10" t="s">
        <v>62</v>
      </c>
      <c r="C3" s="10" t="s">
        <v>49</v>
      </c>
      <c r="D3" s="13">
        <v>1</v>
      </c>
      <c r="E3" s="13">
        <v>2</v>
      </c>
      <c r="F3" s="13">
        <v>1</v>
      </c>
      <c r="G3" s="13">
        <v>1</v>
      </c>
      <c r="H3" s="13"/>
    </row>
    <row r="4" spans="1:8" x14ac:dyDescent="0.35">
      <c r="A4" s="9" t="s">
        <v>35</v>
      </c>
      <c r="B4" s="10" t="s">
        <v>62</v>
      </c>
      <c r="C4" s="10" t="s">
        <v>49</v>
      </c>
      <c r="D4" s="13">
        <v>1</v>
      </c>
      <c r="E4" s="13">
        <v>2</v>
      </c>
      <c r="F4" s="13">
        <v>1</v>
      </c>
      <c r="G4" s="13">
        <v>1</v>
      </c>
      <c r="H4" s="13"/>
    </row>
    <row r="5" spans="1:8" x14ac:dyDescent="0.35">
      <c r="A5" s="9" t="s">
        <v>36</v>
      </c>
      <c r="B5" s="10" t="s">
        <v>63</v>
      </c>
      <c r="C5" s="10" t="s">
        <v>48</v>
      </c>
      <c r="D5" s="13">
        <v>1</v>
      </c>
      <c r="E5" s="13">
        <v>2</v>
      </c>
      <c r="F5" s="13">
        <v>1</v>
      </c>
      <c r="G5" s="13">
        <v>1</v>
      </c>
      <c r="H5" s="13"/>
    </row>
    <row r="6" spans="1:8" x14ac:dyDescent="0.35">
      <c r="A6" s="9" t="s">
        <v>37</v>
      </c>
      <c r="B6" s="10" t="s">
        <v>64</v>
      </c>
      <c r="C6" s="10" t="s">
        <v>51</v>
      </c>
      <c r="D6" s="13"/>
      <c r="E6" s="13"/>
      <c r="F6" s="13"/>
      <c r="G6" s="13"/>
      <c r="H6" s="13">
        <v>21</v>
      </c>
    </row>
    <row r="7" spans="1:8" x14ac:dyDescent="0.35">
      <c r="A7" s="9" t="s">
        <v>38</v>
      </c>
      <c r="B7" s="10" t="s">
        <v>64</v>
      </c>
      <c r="C7" s="10" t="s">
        <v>51</v>
      </c>
      <c r="D7" s="13"/>
      <c r="E7" s="13"/>
      <c r="F7" s="13"/>
      <c r="G7" s="13"/>
      <c r="H7" s="13">
        <v>21</v>
      </c>
    </row>
    <row r="8" spans="1:8" x14ac:dyDescent="0.35">
      <c r="A8" s="9" t="s">
        <v>39</v>
      </c>
      <c r="B8" s="10" t="s">
        <v>65</v>
      </c>
      <c r="C8" s="10" t="s">
        <v>47</v>
      </c>
      <c r="D8" s="13">
        <v>1</v>
      </c>
      <c r="E8" s="13">
        <v>2</v>
      </c>
      <c r="F8" s="13">
        <v>2</v>
      </c>
      <c r="G8" s="13">
        <v>1</v>
      </c>
      <c r="H8" s="13"/>
    </row>
    <row r="9" spans="1:8" x14ac:dyDescent="0.35">
      <c r="A9" s="9" t="s">
        <v>40</v>
      </c>
      <c r="B9" s="10" t="s">
        <v>62</v>
      </c>
      <c r="C9" s="10" t="s">
        <v>50</v>
      </c>
      <c r="D9" s="13">
        <v>1</v>
      </c>
      <c r="E9" s="13">
        <v>2</v>
      </c>
      <c r="F9" s="13">
        <v>1</v>
      </c>
      <c r="G9" s="13">
        <v>1</v>
      </c>
      <c r="H9" s="13"/>
    </row>
    <row r="10" spans="1:8" x14ac:dyDescent="0.35">
      <c r="A10" s="9" t="s">
        <v>41</v>
      </c>
      <c r="B10" s="10" t="s">
        <v>62</v>
      </c>
      <c r="C10" s="10" t="s">
        <v>50</v>
      </c>
      <c r="D10" s="13">
        <v>1</v>
      </c>
      <c r="E10" s="13">
        <v>2</v>
      </c>
      <c r="F10" s="13">
        <v>1</v>
      </c>
      <c r="G10" s="13">
        <v>1</v>
      </c>
      <c r="H10" s="13"/>
    </row>
    <row r="11" spans="1:8" x14ac:dyDescent="0.35">
      <c r="A11" s="9" t="s">
        <v>42</v>
      </c>
      <c r="B11" s="10" t="s">
        <v>65</v>
      </c>
      <c r="C11" s="10" t="s">
        <v>47</v>
      </c>
      <c r="D11" s="13">
        <v>1</v>
      </c>
      <c r="E11" s="13">
        <v>2</v>
      </c>
      <c r="F11" s="13">
        <v>2</v>
      </c>
      <c r="G11" s="13">
        <v>1</v>
      </c>
      <c r="H11" s="13"/>
    </row>
    <row r="12" spans="1:8" x14ac:dyDescent="0.35">
      <c r="A12" s="9" t="s">
        <v>43</v>
      </c>
      <c r="B12" s="10" t="s">
        <v>63</v>
      </c>
      <c r="C12" s="10" t="s">
        <v>48</v>
      </c>
      <c r="D12" s="13">
        <v>1</v>
      </c>
      <c r="E12" s="13">
        <v>2</v>
      </c>
      <c r="F12" s="13">
        <v>1</v>
      </c>
      <c r="G12" s="13">
        <v>1</v>
      </c>
      <c r="H12" s="13"/>
    </row>
    <row r="13" spans="1:8" x14ac:dyDescent="0.35">
      <c r="A13" s="9" t="s">
        <v>44</v>
      </c>
      <c r="B13" s="10" t="s">
        <v>64</v>
      </c>
      <c r="C13" s="10" t="s">
        <v>51</v>
      </c>
      <c r="D13" s="13"/>
      <c r="E13" s="13"/>
      <c r="F13" s="13"/>
      <c r="G13" s="13"/>
      <c r="H13" s="13">
        <v>21</v>
      </c>
    </row>
    <row r="14" spans="1:8" x14ac:dyDescent="0.35">
      <c r="A14" s="9" t="s">
        <v>45</v>
      </c>
      <c r="B14" s="10" t="s">
        <v>62</v>
      </c>
      <c r="C14" s="10" t="s">
        <v>49</v>
      </c>
      <c r="D14" s="13">
        <v>1</v>
      </c>
      <c r="E14" s="13">
        <v>2</v>
      </c>
      <c r="F14" s="13">
        <v>1</v>
      </c>
      <c r="G14" s="13">
        <v>1</v>
      </c>
      <c r="H14" s="13"/>
    </row>
  </sheetData>
  <dataValidations count="2">
    <dataValidation type="list" allowBlank="1" showInputMessage="1" showErrorMessage="1" sqref="A2:A14">
      <formula1>codes_list</formula1>
    </dataValidation>
    <dataValidation type="list" allowBlank="1" showInputMessage="1" showErrorMessage="1" sqref="C2:C14">
      <formula1>work_cells_list</formula1>
    </dataValidation>
  </dataValidations>
  <pageMargins left="0.7" right="0.7" top="0.75" bottom="0.75" header="0.3" footer="0.3"/>
  <pageSetup paperSize="0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14"/>
  <sheetViews>
    <sheetView showGridLines="0" workbookViewId="0">
      <pane ySplit="1" topLeftCell="A2" activePane="bottomLeft" state="frozen"/>
      <selection activeCell="B2" sqref="B2:B37"/>
      <selection pane="bottomLeft"/>
    </sheetView>
  </sheetViews>
  <sheetFormatPr defaultColWidth="8.7265625" defaultRowHeight="14.5" x14ac:dyDescent="0.35"/>
  <cols>
    <col min="1" max="1" width="17.08984375" style="1" customWidth="1"/>
    <col min="2" max="2" width="50.1796875" style="1" customWidth="1"/>
    <col min="3" max="3" width="32" style="11" customWidth="1"/>
    <col min="4" max="4" width="21.36328125" style="1" bestFit="1" customWidth="1"/>
    <col min="5" max="5" width="20.1796875" style="1" bestFit="1" customWidth="1"/>
    <col min="6" max="16384" width="8.7265625" style="1"/>
  </cols>
  <sheetData>
    <row r="1" spans="1:5" x14ac:dyDescent="0.35">
      <c r="A1" s="1" t="s">
        <v>22</v>
      </c>
      <c r="B1" s="1" t="s">
        <v>5</v>
      </c>
      <c r="C1" s="11" t="s">
        <v>7</v>
      </c>
      <c r="D1" s="1" t="s">
        <v>20</v>
      </c>
      <c r="E1" s="1" t="s">
        <v>21</v>
      </c>
    </row>
    <row r="2" spans="1:5" x14ac:dyDescent="0.35">
      <c r="A2" s="12" t="s">
        <v>29</v>
      </c>
      <c r="D2" s="1">
        <f>MATCH(code_descriptions_table[[#This Row],[code_name]],bom_table[code_produced],0)</f>
        <v>1</v>
      </c>
      <c r="E2" s="1">
        <f>MATCH(code_descriptions_table[[#This Row],[code_name]],bol_table[code_produced],0)</f>
        <v>1</v>
      </c>
    </row>
    <row r="3" spans="1:5" x14ac:dyDescent="0.35">
      <c r="A3" s="12" t="s">
        <v>34</v>
      </c>
      <c r="D3" s="1" t="e">
        <f>MATCH(code_descriptions_table[[#This Row],[code_name]],bom_table[code_produced],0)</f>
        <v>#N/A</v>
      </c>
      <c r="E3" s="1">
        <f>MATCH(code_descriptions_table[[#This Row],[code_name]],bol_table[code_produced],0)</f>
        <v>2</v>
      </c>
    </row>
    <row r="4" spans="1:5" x14ac:dyDescent="0.35">
      <c r="A4" s="12" t="s">
        <v>35</v>
      </c>
      <c r="D4" s="1" t="e">
        <f>MATCH(code_descriptions_table[[#This Row],[code_name]],bom_table[code_produced],0)</f>
        <v>#N/A</v>
      </c>
      <c r="E4" s="1">
        <f>MATCH(code_descriptions_table[[#This Row],[code_name]],bol_table[code_produced],0)</f>
        <v>3</v>
      </c>
    </row>
    <row r="5" spans="1:5" x14ac:dyDescent="0.35">
      <c r="A5" s="12" t="s">
        <v>36</v>
      </c>
      <c r="D5" s="1">
        <f>MATCH(code_descriptions_table[[#This Row],[code_name]],bom_table[code_produced],0)</f>
        <v>4</v>
      </c>
      <c r="E5" s="1">
        <f>MATCH(code_descriptions_table[[#This Row],[code_name]],bol_table[code_produced],0)</f>
        <v>4</v>
      </c>
    </row>
    <row r="6" spans="1:5" x14ac:dyDescent="0.35">
      <c r="A6" s="12" t="s">
        <v>37</v>
      </c>
      <c r="D6" s="16" t="e">
        <f>MATCH(code_descriptions_table[[#This Row],[code_name]],bom_table[code_produced],0)</f>
        <v>#N/A</v>
      </c>
      <c r="E6" s="16">
        <f>MATCH(code_descriptions_table[[#This Row],[code_name]],bol_table[code_produced],0)</f>
        <v>5</v>
      </c>
    </row>
    <row r="7" spans="1:5" x14ac:dyDescent="0.35">
      <c r="A7" s="12" t="s">
        <v>38</v>
      </c>
      <c r="D7" s="16" t="e">
        <f>MATCH(code_descriptions_table[[#This Row],[code_name]],bom_table[code_produced],0)</f>
        <v>#N/A</v>
      </c>
      <c r="E7" s="16">
        <f>MATCH(code_descriptions_table[[#This Row],[code_name]],bol_table[code_produced],0)</f>
        <v>6</v>
      </c>
    </row>
    <row r="8" spans="1:5" x14ac:dyDescent="0.35">
      <c r="A8" s="12" t="s">
        <v>39</v>
      </c>
      <c r="D8" s="16">
        <f>MATCH(code_descriptions_table[[#This Row],[code_name]],bom_table[code_produced],0)</f>
        <v>6</v>
      </c>
      <c r="E8" s="16">
        <f>MATCH(code_descriptions_table[[#This Row],[code_name]],bol_table[code_produced],0)</f>
        <v>7</v>
      </c>
    </row>
    <row r="9" spans="1:5" x14ac:dyDescent="0.35">
      <c r="A9" s="12" t="s">
        <v>40</v>
      </c>
      <c r="D9" s="16" t="e">
        <f>MATCH(code_descriptions_table[[#This Row],[code_name]],bom_table[code_produced],0)</f>
        <v>#N/A</v>
      </c>
      <c r="E9" s="16">
        <f>MATCH(code_descriptions_table[[#This Row],[code_name]],bol_table[code_produced],0)</f>
        <v>8</v>
      </c>
    </row>
    <row r="10" spans="1:5" x14ac:dyDescent="0.35">
      <c r="A10" s="12" t="s">
        <v>41</v>
      </c>
      <c r="D10" s="16" t="e">
        <f>MATCH(code_descriptions_table[[#This Row],[code_name]],bom_table[code_produced],0)</f>
        <v>#N/A</v>
      </c>
      <c r="E10" s="16">
        <f>MATCH(code_descriptions_table[[#This Row],[code_name]],bol_table[code_produced],0)</f>
        <v>9</v>
      </c>
    </row>
    <row r="11" spans="1:5" x14ac:dyDescent="0.35">
      <c r="A11" s="12" t="s">
        <v>42</v>
      </c>
      <c r="D11" s="16">
        <f>MATCH(code_descriptions_table[[#This Row],[code_name]],bom_table[code_produced],0)</f>
        <v>9</v>
      </c>
      <c r="E11" s="16">
        <f>MATCH(code_descriptions_table[[#This Row],[code_name]],bol_table[code_produced],0)</f>
        <v>10</v>
      </c>
    </row>
    <row r="12" spans="1:5" x14ac:dyDescent="0.35">
      <c r="A12" s="12" t="s">
        <v>43</v>
      </c>
      <c r="D12" s="16">
        <f>MATCH(code_descriptions_table[[#This Row],[code_name]],bom_table[code_produced],0)</f>
        <v>12</v>
      </c>
      <c r="E12" s="16">
        <f>MATCH(code_descriptions_table[[#This Row],[code_name]],bol_table[code_produced],0)</f>
        <v>11</v>
      </c>
    </row>
    <row r="13" spans="1:5" x14ac:dyDescent="0.35">
      <c r="A13" s="12" t="s">
        <v>44</v>
      </c>
      <c r="D13" s="16" t="e">
        <f>MATCH(code_descriptions_table[[#This Row],[code_name]],bom_table[code_produced],0)</f>
        <v>#N/A</v>
      </c>
      <c r="E13" s="16">
        <f>MATCH(code_descriptions_table[[#This Row],[code_name]],bol_table[code_produced],0)</f>
        <v>12</v>
      </c>
    </row>
    <row r="14" spans="1:5" x14ac:dyDescent="0.35">
      <c r="A14" s="12" t="s">
        <v>45</v>
      </c>
      <c r="D14" s="16" t="e">
        <f>MATCH(code_descriptions_table[[#This Row],[code_name]],bom_table[code_produced],0)</f>
        <v>#N/A</v>
      </c>
      <c r="E14" s="16">
        <f>MATCH(code_descriptions_table[[#This Row],[code_name]],bol_table[code_produced],0)</f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6"/>
  <sheetViews>
    <sheetView showGridLines="0" workbookViewId="0"/>
  </sheetViews>
  <sheetFormatPr defaultColWidth="8.7265625" defaultRowHeight="14.5" x14ac:dyDescent="0.35"/>
  <cols>
    <col min="1" max="1" width="21.36328125" style="1" bestFit="1" customWidth="1"/>
    <col min="2" max="2" width="14.81640625" style="5" customWidth="1"/>
    <col min="3" max="3" width="35.7265625" style="5" bestFit="1" customWidth="1"/>
    <col min="4" max="4" width="25.08984375" style="1" bestFit="1" customWidth="1"/>
    <col min="5" max="5" width="20.81640625" style="5" customWidth="1"/>
    <col min="6" max="16384" width="8.7265625" style="5"/>
  </cols>
  <sheetData>
    <row r="1" spans="1:5" x14ac:dyDescent="0.35">
      <c r="A1" s="1" t="s">
        <v>6</v>
      </c>
      <c r="B1" s="1" t="s">
        <v>1</v>
      </c>
      <c r="C1" s="5" t="s">
        <v>5</v>
      </c>
      <c r="D1" s="1" t="s">
        <v>23</v>
      </c>
      <c r="E1" s="5" t="s">
        <v>19</v>
      </c>
    </row>
    <row r="2" spans="1:5" x14ac:dyDescent="0.35">
      <c r="A2" s="1" t="s">
        <v>46</v>
      </c>
      <c r="B2" s="5" t="s">
        <v>47</v>
      </c>
      <c r="D2" s="1">
        <v>1</v>
      </c>
      <c r="E2" s="5" t="s">
        <v>29</v>
      </c>
    </row>
    <row r="3" spans="1:5" x14ac:dyDescent="0.35">
      <c r="A3" s="1" t="s">
        <v>46</v>
      </c>
      <c r="B3" s="5" t="s">
        <v>48</v>
      </c>
      <c r="D3" s="1">
        <v>1</v>
      </c>
      <c r="E3" s="5" t="s">
        <v>29</v>
      </c>
    </row>
    <row r="4" spans="1:5" x14ac:dyDescent="0.35">
      <c r="A4" s="1" t="s">
        <v>52</v>
      </c>
      <c r="B4" s="5" t="s">
        <v>49</v>
      </c>
      <c r="D4" s="1">
        <v>1</v>
      </c>
      <c r="E4" s="5" t="s">
        <v>29</v>
      </c>
    </row>
    <row r="5" spans="1:5" x14ac:dyDescent="0.35">
      <c r="A5" s="1" t="s">
        <v>52</v>
      </c>
      <c r="B5" s="5" t="s">
        <v>50</v>
      </c>
      <c r="D5" s="1">
        <v>1</v>
      </c>
      <c r="E5" s="5" t="s">
        <v>29</v>
      </c>
    </row>
    <row r="6" spans="1:5" x14ac:dyDescent="0.35">
      <c r="A6" s="1" t="s">
        <v>51</v>
      </c>
      <c r="B6" s="5" t="s">
        <v>51</v>
      </c>
      <c r="D6" s="1">
        <v>1</v>
      </c>
      <c r="E6" s="5" t="s">
        <v>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B11"/>
  <sheetViews>
    <sheetView showGridLines="0" workbookViewId="0"/>
  </sheetViews>
  <sheetFormatPr defaultColWidth="8.81640625" defaultRowHeight="14.5" x14ac:dyDescent="0.35"/>
  <cols>
    <col min="1" max="1" width="14.81640625" style="1" customWidth="1"/>
    <col min="2" max="2" width="16.36328125" style="1" customWidth="1"/>
    <col min="3" max="16384" width="8.81640625" style="1"/>
  </cols>
  <sheetData>
    <row r="1" spans="1:2" x14ac:dyDescent="0.35">
      <c r="A1" s="1" t="s">
        <v>27</v>
      </c>
      <c r="B1" s="1" t="s">
        <v>28</v>
      </c>
    </row>
    <row r="2" spans="1:2" x14ac:dyDescent="0.35">
      <c r="A2" s="12" t="s">
        <v>34</v>
      </c>
      <c r="B2" s="1">
        <v>10</v>
      </c>
    </row>
    <row r="3" spans="1:2" x14ac:dyDescent="0.35">
      <c r="A3" s="12" t="s">
        <v>35</v>
      </c>
      <c r="B3" s="1">
        <v>20</v>
      </c>
    </row>
    <row r="4" spans="1:2" x14ac:dyDescent="0.35">
      <c r="A4" s="12" t="s">
        <v>36</v>
      </c>
      <c r="B4" s="1">
        <v>10</v>
      </c>
    </row>
    <row r="5" spans="1:2" x14ac:dyDescent="0.35">
      <c r="A5" s="12" t="s">
        <v>37</v>
      </c>
      <c r="B5" s="1">
        <v>30</v>
      </c>
    </row>
    <row r="6" spans="1:2" x14ac:dyDescent="0.35">
      <c r="A6" s="12" t="s">
        <v>38</v>
      </c>
      <c r="B6" s="1">
        <v>20</v>
      </c>
    </row>
    <row r="7" spans="1:2" x14ac:dyDescent="0.35">
      <c r="A7" s="12" t="s">
        <v>40</v>
      </c>
      <c r="B7" s="1">
        <v>10</v>
      </c>
    </row>
    <row r="8" spans="1:2" x14ac:dyDescent="0.35">
      <c r="A8" s="12" t="s">
        <v>41</v>
      </c>
      <c r="B8" s="1">
        <v>10</v>
      </c>
    </row>
    <row r="9" spans="1:2" x14ac:dyDescent="0.35">
      <c r="A9" s="12" t="s">
        <v>43</v>
      </c>
      <c r="B9" s="1">
        <v>30</v>
      </c>
    </row>
    <row r="10" spans="1:2" x14ac:dyDescent="0.35">
      <c r="A10" s="12" t="s">
        <v>44</v>
      </c>
      <c r="B10" s="1">
        <v>20</v>
      </c>
    </row>
    <row r="11" spans="1:2" x14ac:dyDescent="0.35">
      <c r="A11" s="12" t="s">
        <v>45</v>
      </c>
      <c r="B11" s="1">
        <v>10</v>
      </c>
    </row>
  </sheetData>
  <dataValidations count="1">
    <dataValidation type="list" allowBlank="1" showInputMessage="1" showErrorMessage="1" sqref="A2:A11">
      <formula1>codes_list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F793"/>
  <sheetViews>
    <sheetView showGridLines="0" tabSelected="1" workbookViewId="0">
      <selection activeCell="D2" sqref="D2"/>
    </sheetView>
  </sheetViews>
  <sheetFormatPr defaultColWidth="8.7265625" defaultRowHeight="14.5" x14ac:dyDescent="0.35"/>
  <cols>
    <col min="1" max="2" width="12.08984375" style="1" customWidth="1"/>
    <col min="3" max="3" width="14" style="1" customWidth="1"/>
    <col min="4" max="4" width="19.453125" style="1" bestFit="1" customWidth="1"/>
    <col min="5" max="5" width="14.08984375" style="1" customWidth="1"/>
    <col min="6" max="6" width="12.90625" style="1" customWidth="1"/>
    <col min="7" max="7" width="24.7265625" style="1" customWidth="1"/>
    <col min="8" max="8" width="27.90625" style="1" customWidth="1"/>
    <col min="9" max="16384" width="8.7265625" style="1"/>
  </cols>
  <sheetData>
    <row r="1" spans="1:6" x14ac:dyDescent="0.35">
      <c r="A1" s="1" t="s">
        <v>18</v>
      </c>
      <c r="B1" s="1" t="s">
        <v>15</v>
      </c>
      <c r="C1" s="1" t="s">
        <v>16</v>
      </c>
      <c r="D1" s="1" t="s">
        <v>31</v>
      </c>
      <c r="E1" s="1" t="s">
        <v>30</v>
      </c>
      <c r="F1" s="1" t="s">
        <v>17</v>
      </c>
    </row>
    <row r="2" spans="1:6" x14ac:dyDescent="0.35">
      <c r="A2" s="15">
        <v>42370</v>
      </c>
      <c r="B2" s="2">
        <f>Table1[[#This Row],[date]]-day_zero</f>
        <v>0</v>
      </c>
      <c r="C2" s="1">
        <f>WEEKDAY(Table1[[#This Row],[date]],2 )</f>
        <v>5</v>
      </c>
      <c r="D2" s="1">
        <v>15</v>
      </c>
      <c r="E2" s="1">
        <v>7.5</v>
      </c>
      <c r="F2" s="1">
        <f>IF(Table1[[#This Row],[weekday]]&lt;6,2,0)</f>
        <v>2</v>
      </c>
    </row>
    <row r="3" spans="1:6" x14ac:dyDescent="0.35">
      <c r="A3" s="14">
        <f t="shared" ref="A3:A11" si="0">A2+1</f>
        <v>42371</v>
      </c>
      <c r="B3" s="2">
        <f>Table1[[#This Row],[date]]-day_zero</f>
        <v>1</v>
      </c>
      <c r="C3" s="1">
        <f>WEEKDAY(Table1[[#This Row],[date]],2 )</f>
        <v>6</v>
      </c>
      <c r="D3" s="1">
        <v>15</v>
      </c>
      <c r="E3" s="1">
        <v>7.5</v>
      </c>
      <c r="F3" s="1">
        <f>IF(Table1[[#This Row],[weekday]]&lt;6,2,0)</f>
        <v>0</v>
      </c>
    </row>
    <row r="4" spans="1:6" x14ac:dyDescent="0.35">
      <c r="A4" s="14">
        <f t="shared" si="0"/>
        <v>42372</v>
      </c>
      <c r="B4" s="2">
        <f>Table1[[#This Row],[date]]-day_zero</f>
        <v>2</v>
      </c>
      <c r="C4" s="1">
        <f>WEEKDAY(Table1[[#This Row],[date]],2 )</f>
        <v>7</v>
      </c>
      <c r="D4" s="1">
        <v>15</v>
      </c>
      <c r="E4" s="1">
        <v>7.5</v>
      </c>
      <c r="F4" s="1">
        <f>IF(Table1[[#This Row],[weekday]]&lt;6,2,0)</f>
        <v>0</v>
      </c>
    </row>
    <row r="5" spans="1:6" x14ac:dyDescent="0.35">
      <c r="A5" s="14">
        <f t="shared" si="0"/>
        <v>42373</v>
      </c>
      <c r="B5" s="2">
        <f>Table1[[#This Row],[date]]-day_zero</f>
        <v>3</v>
      </c>
      <c r="C5" s="1">
        <f>WEEKDAY(Table1[[#This Row],[date]],2 )</f>
        <v>1</v>
      </c>
      <c r="D5" s="1">
        <v>15</v>
      </c>
      <c r="E5" s="1">
        <v>7.5</v>
      </c>
      <c r="F5" s="1">
        <f>IF(Table1[[#This Row],[weekday]]&lt;6,2,0)</f>
        <v>2</v>
      </c>
    </row>
    <row r="6" spans="1:6" x14ac:dyDescent="0.35">
      <c r="A6" s="14">
        <f t="shared" si="0"/>
        <v>42374</v>
      </c>
      <c r="B6" s="2">
        <f>Table1[[#This Row],[date]]-day_zero</f>
        <v>4</v>
      </c>
      <c r="C6" s="1">
        <f>WEEKDAY(Table1[[#This Row],[date]],2 )</f>
        <v>2</v>
      </c>
      <c r="D6" s="1">
        <v>15</v>
      </c>
      <c r="E6" s="1">
        <v>7.5</v>
      </c>
      <c r="F6" s="1">
        <f>IF(Table1[[#This Row],[weekday]]&lt;6,2,0)</f>
        <v>2</v>
      </c>
    </row>
    <row r="7" spans="1:6" x14ac:dyDescent="0.35">
      <c r="A7" s="14">
        <f t="shared" si="0"/>
        <v>42375</v>
      </c>
      <c r="B7" s="2">
        <f>Table1[[#This Row],[date]]-day_zero</f>
        <v>5</v>
      </c>
      <c r="C7" s="1">
        <f>WEEKDAY(Table1[[#This Row],[date]],2 )</f>
        <v>3</v>
      </c>
      <c r="D7" s="1">
        <v>15</v>
      </c>
      <c r="E7" s="1">
        <v>7.5</v>
      </c>
      <c r="F7" s="1">
        <f>IF(Table1[[#This Row],[weekday]]&lt;6,2,0)</f>
        <v>2</v>
      </c>
    </row>
    <row r="8" spans="1:6" x14ac:dyDescent="0.35">
      <c r="A8" s="14">
        <f t="shared" si="0"/>
        <v>42376</v>
      </c>
      <c r="B8" s="2">
        <f>Table1[[#This Row],[date]]-day_zero</f>
        <v>6</v>
      </c>
      <c r="C8" s="1">
        <f>WEEKDAY(Table1[[#This Row],[date]],2 )</f>
        <v>4</v>
      </c>
      <c r="D8" s="1">
        <v>15</v>
      </c>
      <c r="E8" s="1">
        <v>7.5</v>
      </c>
      <c r="F8" s="1">
        <f>IF(Table1[[#This Row],[weekday]]&lt;6,2,0)</f>
        <v>2</v>
      </c>
    </row>
    <row r="9" spans="1:6" x14ac:dyDescent="0.35">
      <c r="A9" s="14">
        <f t="shared" si="0"/>
        <v>42377</v>
      </c>
      <c r="B9" s="2">
        <f>Table1[[#This Row],[date]]-day_zero</f>
        <v>7</v>
      </c>
      <c r="C9" s="1">
        <f>WEEKDAY(Table1[[#This Row],[date]],2 )</f>
        <v>5</v>
      </c>
      <c r="D9" s="1">
        <v>15</v>
      </c>
      <c r="E9" s="1">
        <v>7.5</v>
      </c>
      <c r="F9" s="1">
        <f>IF(Table1[[#This Row],[weekday]]&lt;6,2,0)</f>
        <v>2</v>
      </c>
    </row>
    <row r="10" spans="1:6" x14ac:dyDescent="0.35">
      <c r="A10" s="14">
        <f t="shared" si="0"/>
        <v>42378</v>
      </c>
      <c r="B10" s="2">
        <f>Table1[[#This Row],[date]]-day_zero</f>
        <v>8</v>
      </c>
      <c r="C10" s="1">
        <f>WEEKDAY(Table1[[#This Row],[date]],2 )</f>
        <v>6</v>
      </c>
      <c r="D10" s="1">
        <v>15</v>
      </c>
      <c r="E10" s="1">
        <v>7.5</v>
      </c>
      <c r="F10" s="1">
        <f>IF(Table1[[#This Row],[weekday]]&lt;6,2,0)</f>
        <v>0</v>
      </c>
    </row>
    <row r="11" spans="1:6" x14ac:dyDescent="0.35">
      <c r="A11" s="14">
        <f t="shared" si="0"/>
        <v>42379</v>
      </c>
      <c r="B11" s="2">
        <f>Table1[[#This Row],[date]]-day_zero</f>
        <v>9</v>
      </c>
      <c r="C11" s="1">
        <f>WEEKDAY(Table1[[#This Row],[date]],2 )</f>
        <v>7</v>
      </c>
      <c r="D11" s="1">
        <v>15</v>
      </c>
      <c r="E11" s="1">
        <v>7.5</v>
      </c>
      <c r="F11" s="1">
        <f>IF(Table1[[#This Row],[weekday]]&lt;6,2,0)</f>
        <v>0</v>
      </c>
    </row>
    <row r="12" spans="1:6" x14ac:dyDescent="0.35">
      <c r="A12" s="14">
        <f t="shared" ref="A12:A75" si="1">A11+1</f>
        <v>42380</v>
      </c>
      <c r="B12" s="2">
        <f>Table1[[#This Row],[date]]-day_zero</f>
        <v>10</v>
      </c>
      <c r="C12" s="16">
        <f>WEEKDAY(Table1[[#This Row],[date]],2 )</f>
        <v>1</v>
      </c>
      <c r="D12" s="1">
        <v>15</v>
      </c>
      <c r="E12" s="1">
        <v>7.5</v>
      </c>
      <c r="F12" s="16">
        <f>IF(Table1[[#This Row],[weekday]]&lt;6,2,0)</f>
        <v>2</v>
      </c>
    </row>
    <row r="13" spans="1:6" x14ac:dyDescent="0.35">
      <c r="A13" s="14">
        <f t="shared" si="1"/>
        <v>42381</v>
      </c>
      <c r="B13" s="2">
        <f>Table1[[#This Row],[date]]-day_zero</f>
        <v>11</v>
      </c>
      <c r="C13" s="16">
        <f>WEEKDAY(Table1[[#This Row],[date]],2 )</f>
        <v>2</v>
      </c>
      <c r="D13" s="1">
        <v>15</v>
      </c>
      <c r="E13" s="1">
        <v>7.5</v>
      </c>
      <c r="F13" s="16">
        <f>IF(Table1[[#This Row],[weekday]]&lt;6,2,0)</f>
        <v>2</v>
      </c>
    </row>
    <row r="14" spans="1:6" x14ac:dyDescent="0.35">
      <c r="A14" s="14">
        <f t="shared" si="1"/>
        <v>42382</v>
      </c>
      <c r="B14" s="2">
        <f>Table1[[#This Row],[date]]-day_zero</f>
        <v>12</v>
      </c>
      <c r="C14" s="16">
        <f>WEEKDAY(Table1[[#This Row],[date]],2 )</f>
        <v>3</v>
      </c>
      <c r="D14" s="1">
        <v>15</v>
      </c>
      <c r="E14" s="1">
        <v>7.5</v>
      </c>
      <c r="F14" s="16">
        <f>IF(Table1[[#This Row],[weekday]]&lt;6,2,0)</f>
        <v>2</v>
      </c>
    </row>
    <row r="15" spans="1:6" x14ac:dyDescent="0.35">
      <c r="A15" s="14">
        <f t="shared" si="1"/>
        <v>42383</v>
      </c>
      <c r="B15" s="2">
        <f>Table1[[#This Row],[date]]-day_zero</f>
        <v>13</v>
      </c>
      <c r="C15" s="16">
        <f>WEEKDAY(Table1[[#This Row],[date]],2 )</f>
        <v>4</v>
      </c>
      <c r="D15" s="1">
        <v>15</v>
      </c>
      <c r="E15" s="1">
        <v>7.5</v>
      </c>
      <c r="F15" s="16">
        <f>IF(Table1[[#This Row],[weekday]]&lt;6,2,0)</f>
        <v>2</v>
      </c>
    </row>
    <row r="16" spans="1:6" x14ac:dyDescent="0.35">
      <c r="A16" s="14">
        <f t="shared" si="1"/>
        <v>42384</v>
      </c>
      <c r="B16" s="2">
        <f>Table1[[#This Row],[date]]-day_zero</f>
        <v>14</v>
      </c>
      <c r="C16" s="16">
        <f>WEEKDAY(Table1[[#This Row],[date]],2 )</f>
        <v>5</v>
      </c>
      <c r="D16" s="1">
        <v>15</v>
      </c>
      <c r="E16" s="1">
        <v>7.5</v>
      </c>
      <c r="F16" s="16">
        <f>IF(Table1[[#This Row],[weekday]]&lt;6,2,0)</f>
        <v>2</v>
      </c>
    </row>
    <row r="17" spans="1:6" x14ac:dyDescent="0.35">
      <c r="A17" s="14">
        <f t="shared" si="1"/>
        <v>42385</v>
      </c>
      <c r="B17" s="2">
        <f>Table1[[#This Row],[date]]-day_zero</f>
        <v>15</v>
      </c>
      <c r="C17" s="16">
        <f>WEEKDAY(Table1[[#This Row],[date]],2 )</f>
        <v>6</v>
      </c>
      <c r="D17" s="1">
        <v>15</v>
      </c>
      <c r="E17" s="1">
        <v>7.5</v>
      </c>
      <c r="F17" s="16">
        <f>IF(Table1[[#This Row],[weekday]]&lt;6,2,0)</f>
        <v>0</v>
      </c>
    </row>
    <row r="18" spans="1:6" x14ac:dyDescent="0.35">
      <c r="A18" s="14">
        <f t="shared" si="1"/>
        <v>42386</v>
      </c>
      <c r="B18" s="2">
        <f>Table1[[#This Row],[date]]-day_zero</f>
        <v>16</v>
      </c>
      <c r="C18" s="16">
        <f>WEEKDAY(Table1[[#This Row],[date]],2 )</f>
        <v>7</v>
      </c>
      <c r="D18" s="1">
        <v>15</v>
      </c>
      <c r="E18" s="1">
        <v>7.5</v>
      </c>
      <c r="F18" s="16">
        <f>IF(Table1[[#This Row],[weekday]]&lt;6,2,0)</f>
        <v>0</v>
      </c>
    </row>
    <row r="19" spans="1:6" x14ac:dyDescent="0.35">
      <c r="A19" s="14">
        <f t="shared" si="1"/>
        <v>42387</v>
      </c>
      <c r="B19" s="2">
        <f>Table1[[#This Row],[date]]-day_zero</f>
        <v>17</v>
      </c>
      <c r="C19" s="16">
        <f>WEEKDAY(Table1[[#This Row],[date]],2 )</f>
        <v>1</v>
      </c>
      <c r="D19" s="1">
        <v>15</v>
      </c>
      <c r="E19" s="1">
        <v>7.5</v>
      </c>
      <c r="F19" s="16">
        <f>IF(Table1[[#This Row],[weekday]]&lt;6,2,0)</f>
        <v>2</v>
      </c>
    </row>
    <row r="20" spans="1:6" x14ac:dyDescent="0.35">
      <c r="A20" s="14">
        <f t="shared" si="1"/>
        <v>42388</v>
      </c>
      <c r="B20" s="2">
        <f>Table1[[#This Row],[date]]-day_zero</f>
        <v>18</v>
      </c>
      <c r="C20" s="16">
        <f>WEEKDAY(Table1[[#This Row],[date]],2 )</f>
        <v>2</v>
      </c>
      <c r="D20" s="1">
        <v>15</v>
      </c>
      <c r="E20" s="1">
        <v>7.5</v>
      </c>
      <c r="F20" s="16">
        <f>IF(Table1[[#This Row],[weekday]]&lt;6,2,0)</f>
        <v>2</v>
      </c>
    </row>
    <row r="21" spans="1:6" x14ac:dyDescent="0.35">
      <c r="A21" s="14">
        <f t="shared" si="1"/>
        <v>42389</v>
      </c>
      <c r="B21" s="2">
        <f>Table1[[#This Row],[date]]-day_zero</f>
        <v>19</v>
      </c>
      <c r="C21" s="16">
        <f>WEEKDAY(Table1[[#This Row],[date]],2 )</f>
        <v>3</v>
      </c>
      <c r="D21" s="1">
        <v>15</v>
      </c>
      <c r="E21" s="1">
        <v>7.5</v>
      </c>
      <c r="F21" s="16">
        <f>IF(Table1[[#This Row],[weekday]]&lt;6,2,0)</f>
        <v>2</v>
      </c>
    </row>
    <row r="22" spans="1:6" x14ac:dyDescent="0.35">
      <c r="A22" s="14">
        <f t="shared" si="1"/>
        <v>42390</v>
      </c>
      <c r="B22" s="2">
        <f>Table1[[#This Row],[date]]-day_zero</f>
        <v>20</v>
      </c>
      <c r="C22" s="16">
        <f>WEEKDAY(Table1[[#This Row],[date]],2 )</f>
        <v>4</v>
      </c>
      <c r="D22" s="1">
        <v>15</v>
      </c>
      <c r="E22" s="1">
        <v>7.5</v>
      </c>
      <c r="F22" s="16">
        <f>IF(Table1[[#This Row],[weekday]]&lt;6,2,0)</f>
        <v>2</v>
      </c>
    </row>
    <row r="23" spans="1:6" x14ac:dyDescent="0.35">
      <c r="A23" s="14">
        <f t="shared" si="1"/>
        <v>42391</v>
      </c>
      <c r="B23" s="2">
        <f>Table1[[#This Row],[date]]-day_zero</f>
        <v>21</v>
      </c>
      <c r="C23" s="16">
        <f>WEEKDAY(Table1[[#This Row],[date]],2 )</f>
        <v>5</v>
      </c>
      <c r="D23" s="1">
        <v>15</v>
      </c>
      <c r="E23" s="1">
        <v>7.5</v>
      </c>
      <c r="F23" s="16">
        <f>IF(Table1[[#This Row],[weekday]]&lt;6,2,0)</f>
        <v>2</v>
      </c>
    </row>
    <row r="24" spans="1:6" x14ac:dyDescent="0.35">
      <c r="A24" s="14">
        <f t="shared" si="1"/>
        <v>42392</v>
      </c>
      <c r="B24" s="2">
        <f>Table1[[#This Row],[date]]-day_zero</f>
        <v>22</v>
      </c>
      <c r="C24" s="16">
        <f>WEEKDAY(Table1[[#This Row],[date]],2 )</f>
        <v>6</v>
      </c>
      <c r="D24" s="1">
        <v>15</v>
      </c>
      <c r="E24" s="1">
        <v>7.5</v>
      </c>
      <c r="F24" s="16">
        <f>IF(Table1[[#This Row],[weekday]]&lt;6,2,0)</f>
        <v>0</v>
      </c>
    </row>
    <row r="25" spans="1:6" x14ac:dyDescent="0.35">
      <c r="A25" s="14">
        <f t="shared" si="1"/>
        <v>42393</v>
      </c>
      <c r="B25" s="2">
        <f>Table1[[#This Row],[date]]-day_zero</f>
        <v>23</v>
      </c>
      <c r="C25" s="16">
        <f>WEEKDAY(Table1[[#This Row],[date]],2 )</f>
        <v>7</v>
      </c>
      <c r="D25" s="1">
        <v>15</v>
      </c>
      <c r="E25" s="1">
        <v>7.5</v>
      </c>
      <c r="F25" s="16">
        <f>IF(Table1[[#This Row],[weekday]]&lt;6,2,0)</f>
        <v>0</v>
      </c>
    </row>
    <row r="26" spans="1:6" x14ac:dyDescent="0.35">
      <c r="A26" s="14">
        <f t="shared" si="1"/>
        <v>42394</v>
      </c>
      <c r="B26" s="2">
        <f>Table1[[#This Row],[date]]-day_zero</f>
        <v>24</v>
      </c>
      <c r="C26" s="16">
        <f>WEEKDAY(Table1[[#This Row],[date]],2 )</f>
        <v>1</v>
      </c>
      <c r="D26" s="1">
        <v>15</v>
      </c>
      <c r="E26" s="1">
        <v>7.5</v>
      </c>
      <c r="F26" s="16">
        <f>IF(Table1[[#This Row],[weekday]]&lt;6,2,0)</f>
        <v>2</v>
      </c>
    </row>
    <row r="27" spans="1:6" x14ac:dyDescent="0.35">
      <c r="A27" s="14">
        <f t="shared" si="1"/>
        <v>42395</v>
      </c>
      <c r="B27" s="2">
        <f>Table1[[#This Row],[date]]-day_zero</f>
        <v>25</v>
      </c>
      <c r="C27" s="16">
        <f>WEEKDAY(Table1[[#This Row],[date]],2 )</f>
        <v>2</v>
      </c>
      <c r="D27" s="1">
        <v>15</v>
      </c>
      <c r="E27" s="1">
        <v>7.5</v>
      </c>
      <c r="F27" s="16">
        <f>IF(Table1[[#This Row],[weekday]]&lt;6,2,0)</f>
        <v>2</v>
      </c>
    </row>
    <row r="28" spans="1:6" x14ac:dyDescent="0.35">
      <c r="A28" s="14">
        <f t="shared" si="1"/>
        <v>42396</v>
      </c>
      <c r="B28" s="2">
        <f>Table1[[#This Row],[date]]-day_zero</f>
        <v>26</v>
      </c>
      <c r="C28" s="16">
        <f>WEEKDAY(Table1[[#This Row],[date]],2 )</f>
        <v>3</v>
      </c>
      <c r="D28" s="1">
        <v>15</v>
      </c>
      <c r="E28" s="1">
        <v>7.5</v>
      </c>
      <c r="F28" s="16">
        <f>IF(Table1[[#This Row],[weekday]]&lt;6,2,0)</f>
        <v>2</v>
      </c>
    </row>
    <row r="29" spans="1:6" x14ac:dyDescent="0.35">
      <c r="A29" s="14">
        <f t="shared" si="1"/>
        <v>42397</v>
      </c>
      <c r="B29" s="2">
        <f>Table1[[#This Row],[date]]-day_zero</f>
        <v>27</v>
      </c>
      <c r="C29" s="16">
        <f>WEEKDAY(Table1[[#This Row],[date]],2 )</f>
        <v>4</v>
      </c>
      <c r="D29" s="1">
        <v>15</v>
      </c>
      <c r="E29" s="1">
        <v>7.5</v>
      </c>
      <c r="F29" s="16">
        <f>IF(Table1[[#This Row],[weekday]]&lt;6,2,0)</f>
        <v>2</v>
      </c>
    </row>
    <row r="30" spans="1:6" x14ac:dyDescent="0.35">
      <c r="A30" s="14">
        <f t="shared" si="1"/>
        <v>42398</v>
      </c>
      <c r="B30" s="2">
        <f>Table1[[#This Row],[date]]-day_zero</f>
        <v>28</v>
      </c>
      <c r="C30" s="16">
        <f>WEEKDAY(Table1[[#This Row],[date]],2 )</f>
        <v>5</v>
      </c>
      <c r="D30" s="1">
        <v>15</v>
      </c>
      <c r="E30" s="1">
        <v>7.5</v>
      </c>
      <c r="F30" s="16">
        <f>IF(Table1[[#This Row],[weekday]]&lt;6,2,0)</f>
        <v>2</v>
      </c>
    </row>
    <row r="31" spans="1:6" x14ac:dyDescent="0.35">
      <c r="A31" s="14">
        <f t="shared" si="1"/>
        <v>42399</v>
      </c>
      <c r="B31" s="2">
        <f>Table1[[#This Row],[date]]-day_zero</f>
        <v>29</v>
      </c>
      <c r="C31" s="16">
        <f>WEEKDAY(Table1[[#This Row],[date]],2 )</f>
        <v>6</v>
      </c>
      <c r="D31" s="1">
        <v>15</v>
      </c>
      <c r="E31" s="1">
        <v>7.5</v>
      </c>
      <c r="F31" s="16">
        <f>IF(Table1[[#This Row],[weekday]]&lt;6,2,0)</f>
        <v>0</v>
      </c>
    </row>
    <row r="32" spans="1:6" x14ac:dyDescent="0.35">
      <c r="A32" s="14">
        <f t="shared" si="1"/>
        <v>42400</v>
      </c>
      <c r="B32" s="2">
        <f>Table1[[#This Row],[date]]-day_zero</f>
        <v>30</v>
      </c>
      <c r="C32" s="16">
        <f>WEEKDAY(Table1[[#This Row],[date]],2 )</f>
        <v>7</v>
      </c>
      <c r="D32" s="1">
        <v>15</v>
      </c>
      <c r="E32" s="1">
        <v>7.5</v>
      </c>
      <c r="F32" s="16">
        <f>IF(Table1[[#This Row],[weekday]]&lt;6,2,0)</f>
        <v>0</v>
      </c>
    </row>
    <row r="33" spans="1:6" x14ac:dyDescent="0.35">
      <c r="A33" s="14">
        <f t="shared" si="1"/>
        <v>42401</v>
      </c>
      <c r="B33" s="2">
        <f>Table1[[#This Row],[date]]-day_zero</f>
        <v>31</v>
      </c>
      <c r="C33" s="16">
        <f>WEEKDAY(Table1[[#This Row],[date]],2 )</f>
        <v>1</v>
      </c>
      <c r="D33" s="1">
        <v>15</v>
      </c>
      <c r="E33" s="1">
        <v>7.5</v>
      </c>
      <c r="F33" s="16">
        <f>IF(Table1[[#This Row],[weekday]]&lt;6,2,0)</f>
        <v>2</v>
      </c>
    </row>
    <row r="34" spans="1:6" x14ac:dyDescent="0.35">
      <c r="A34" s="14">
        <f t="shared" si="1"/>
        <v>42402</v>
      </c>
      <c r="B34" s="2">
        <f>Table1[[#This Row],[date]]-day_zero</f>
        <v>32</v>
      </c>
      <c r="C34" s="16">
        <f>WEEKDAY(Table1[[#This Row],[date]],2 )</f>
        <v>2</v>
      </c>
      <c r="D34" s="1">
        <v>15</v>
      </c>
      <c r="E34" s="1">
        <v>7.5</v>
      </c>
      <c r="F34" s="16">
        <f>IF(Table1[[#This Row],[weekday]]&lt;6,2,0)</f>
        <v>2</v>
      </c>
    </row>
    <row r="35" spans="1:6" x14ac:dyDescent="0.35">
      <c r="A35" s="14">
        <f t="shared" si="1"/>
        <v>42403</v>
      </c>
      <c r="B35" s="2">
        <f>Table1[[#This Row],[date]]-day_zero</f>
        <v>33</v>
      </c>
      <c r="C35" s="16">
        <f>WEEKDAY(Table1[[#This Row],[date]],2 )</f>
        <v>3</v>
      </c>
      <c r="D35" s="1">
        <v>15</v>
      </c>
      <c r="E35" s="1">
        <v>7.5</v>
      </c>
      <c r="F35" s="16">
        <f>IF(Table1[[#This Row],[weekday]]&lt;6,2,0)</f>
        <v>2</v>
      </c>
    </row>
    <row r="36" spans="1:6" x14ac:dyDescent="0.35">
      <c r="A36" s="14">
        <f t="shared" si="1"/>
        <v>42404</v>
      </c>
      <c r="B36" s="2">
        <f>Table1[[#This Row],[date]]-day_zero</f>
        <v>34</v>
      </c>
      <c r="C36" s="16">
        <f>WEEKDAY(Table1[[#This Row],[date]],2 )</f>
        <v>4</v>
      </c>
      <c r="D36" s="1">
        <v>15</v>
      </c>
      <c r="E36" s="1">
        <v>7.5</v>
      </c>
      <c r="F36" s="16">
        <f>IF(Table1[[#This Row],[weekday]]&lt;6,2,0)</f>
        <v>2</v>
      </c>
    </row>
    <row r="37" spans="1:6" x14ac:dyDescent="0.35">
      <c r="A37" s="14">
        <f t="shared" si="1"/>
        <v>42405</v>
      </c>
      <c r="B37" s="2">
        <f>Table1[[#This Row],[date]]-day_zero</f>
        <v>35</v>
      </c>
      <c r="C37" s="16">
        <f>WEEKDAY(Table1[[#This Row],[date]],2 )</f>
        <v>5</v>
      </c>
      <c r="D37" s="1">
        <v>15</v>
      </c>
      <c r="E37" s="1">
        <v>7.5</v>
      </c>
      <c r="F37" s="16">
        <f>IF(Table1[[#This Row],[weekday]]&lt;6,2,0)</f>
        <v>2</v>
      </c>
    </row>
    <row r="38" spans="1:6" x14ac:dyDescent="0.35">
      <c r="A38" s="14">
        <f t="shared" si="1"/>
        <v>42406</v>
      </c>
      <c r="B38" s="2">
        <f>Table1[[#This Row],[date]]-day_zero</f>
        <v>36</v>
      </c>
      <c r="C38" s="16">
        <f>WEEKDAY(Table1[[#This Row],[date]],2 )</f>
        <v>6</v>
      </c>
      <c r="D38" s="1">
        <v>15</v>
      </c>
      <c r="E38" s="1">
        <v>7.5</v>
      </c>
      <c r="F38" s="16">
        <f>IF(Table1[[#This Row],[weekday]]&lt;6,2,0)</f>
        <v>0</v>
      </c>
    </row>
    <row r="39" spans="1:6" x14ac:dyDescent="0.35">
      <c r="A39" s="14">
        <f t="shared" si="1"/>
        <v>42407</v>
      </c>
      <c r="B39" s="2">
        <f>Table1[[#This Row],[date]]-day_zero</f>
        <v>37</v>
      </c>
      <c r="C39" s="16">
        <f>WEEKDAY(Table1[[#This Row],[date]],2 )</f>
        <v>7</v>
      </c>
      <c r="D39" s="1">
        <v>15</v>
      </c>
      <c r="E39" s="1">
        <v>7.5</v>
      </c>
      <c r="F39" s="16">
        <f>IF(Table1[[#This Row],[weekday]]&lt;6,2,0)</f>
        <v>0</v>
      </c>
    </row>
    <row r="40" spans="1:6" x14ac:dyDescent="0.35">
      <c r="A40" s="14">
        <f t="shared" si="1"/>
        <v>42408</v>
      </c>
      <c r="B40" s="2">
        <f>Table1[[#This Row],[date]]-day_zero</f>
        <v>38</v>
      </c>
      <c r="C40" s="16">
        <f>WEEKDAY(Table1[[#This Row],[date]],2 )</f>
        <v>1</v>
      </c>
      <c r="D40" s="1">
        <v>15</v>
      </c>
      <c r="E40" s="1">
        <v>7.5</v>
      </c>
      <c r="F40" s="16">
        <f>IF(Table1[[#This Row],[weekday]]&lt;6,2,0)</f>
        <v>2</v>
      </c>
    </row>
    <row r="41" spans="1:6" x14ac:dyDescent="0.35">
      <c r="A41" s="14">
        <f t="shared" si="1"/>
        <v>42409</v>
      </c>
      <c r="B41" s="2">
        <f>Table1[[#This Row],[date]]-day_zero</f>
        <v>39</v>
      </c>
      <c r="C41" s="16">
        <f>WEEKDAY(Table1[[#This Row],[date]],2 )</f>
        <v>2</v>
      </c>
      <c r="D41" s="1">
        <v>15</v>
      </c>
      <c r="E41" s="1">
        <v>7.5</v>
      </c>
      <c r="F41" s="16">
        <f>IF(Table1[[#This Row],[weekday]]&lt;6,2,0)</f>
        <v>2</v>
      </c>
    </row>
    <row r="42" spans="1:6" x14ac:dyDescent="0.35">
      <c r="A42" s="14">
        <f t="shared" si="1"/>
        <v>42410</v>
      </c>
      <c r="B42" s="2">
        <f>Table1[[#This Row],[date]]-day_zero</f>
        <v>40</v>
      </c>
      <c r="C42" s="16">
        <f>WEEKDAY(Table1[[#This Row],[date]],2 )</f>
        <v>3</v>
      </c>
      <c r="D42" s="1">
        <v>15</v>
      </c>
      <c r="E42" s="1">
        <v>7.5</v>
      </c>
      <c r="F42" s="16">
        <f>IF(Table1[[#This Row],[weekday]]&lt;6,2,0)</f>
        <v>2</v>
      </c>
    </row>
    <row r="43" spans="1:6" x14ac:dyDescent="0.35">
      <c r="A43" s="14">
        <f t="shared" si="1"/>
        <v>42411</v>
      </c>
      <c r="B43" s="2">
        <f>Table1[[#This Row],[date]]-day_zero</f>
        <v>41</v>
      </c>
      <c r="C43" s="16">
        <f>WEEKDAY(Table1[[#This Row],[date]],2 )</f>
        <v>4</v>
      </c>
      <c r="D43" s="1">
        <v>15</v>
      </c>
      <c r="E43" s="1">
        <v>7.5</v>
      </c>
      <c r="F43" s="16">
        <f>IF(Table1[[#This Row],[weekday]]&lt;6,2,0)</f>
        <v>2</v>
      </c>
    </row>
    <row r="44" spans="1:6" x14ac:dyDescent="0.35">
      <c r="A44" s="14">
        <f t="shared" si="1"/>
        <v>42412</v>
      </c>
      <c r="B44" s="2">
        <f>Table1[[#This Row],[date]]-day_zero</f>
        <v>42</v>
      </c>
      <c r="C44" s="16">
        <f>WEEKDAY(Table1[[#This Row],[date]],2 )</f>
        <v>5</v>
      </c>
      <c r="D44" s="1">
        <v>15</v>
      </c>
      <c r="E44" s="1">
        <v>7.5</v>
      </c>
      <c r="F44" s="16">
        <f>IF(Table1[[#This Row],[weekday]]&lt;6,2,0)</f>
        <v>2</v>
      </c>
    </row>
    <row r="45" spans="1:6" x14ac:dyDescent="0.35">
      <c r="A45" s="14">
        <f t="shared" si="1"/>
        <v>42413</v>
      </c>
      <c r="B45" s="2">
        <f>Table1[[#This Row],[date]]-day_zero</f>
        <v>43</v>
      </c>
      <c r="C45" s="16">
        <f>WEEKDAY(Table1[[#This Row],[date]],2 )</f>
        <v>6</v>
      </c>
      <c r="D45" s="1">
        <v>15</v>
      </c>
      <c r="E45" s="1">
        <v>7.5</v>
      </c>
      <c r="F45" s="16">
        <f>IF(Table1[[#This Row],[weekday]]&lt;6,2,0)</f>
        <v>0</v>
      </c>
    </row>
    <row r="46" spans="1:6" x14ac:dyDescent="0.35">
      <c r="A46" s="14">
        <f t="shared" si="1"/>
        <v>42414</v>
      </c>
      <c r="B46" s="2">
        <f>Table1[[#This Row],[date]]-day_zero</f>
        <v>44</v>
      </c>
      <c r="C46" s="16">
        <f>WEEKDAY(Table1[[#This Row],[date]],2 )</f>
        <v>7</v>
      </c>
      <c r="D46" s="1">
        <v>15</v>
      </c>
      <c r="E46" s="1">
        <v>7.5</v>
      </c>
      <c r="F46" s="16">
        <f>IF(Table1[[#This Row],[weekday]]&lt;6,2,0)</f>
        <v>0</v>
      </c>
    </row>
    <row r="47" spans="1:6" x14ac:dyDescent="0.35">
      <c r="A47" s="14">
        <f t="shared" si="1"/>
        <v>42415</v>
      </c>
      <c r="B47" s="2">
        <f>Table1[[#This Row],[date]]-day_zero</f>
        <v>45</v>
      </c>
      <c r="C47" s="16">
        <f>WEEKDAY(Table1[[#This Row],[date]],2 )</f>
        <v>1</v>
      </c>
      <c r="D47" s="1">
        <v>15</v>
      </c>
      <c r="E47" s="1">
        <v>7.5</v>
      </c>
      <c r="F47" s="16">
        <f>IF(Table1[[#This Row],[weekday]]&lt;6,2,0)</f>
        <v>2</v>
      </c>
    </row>
    <row r="48" spans="1:6" x14ac:dyDescent="0.35">
      <c r="A48" s="14">
        <f t="shared" si="1"/>
        <v>42416</v>
      </c>
      <c r="B48" s="2">
        <f>Table1[[#This Row],[date]]-day_zero</f>
        <v>46</v>
      </c>
      <c r="C48" s="16">
        <f>WEEKDAY(Table1[[#This Row],[date]],2 )</f>
        <v>2</v>
      </c>
      <c r="D48" s="1">
        <v>15</v>
      </c>
      <c r="E48" s="1">
        <v>7.5</v>
      </c>
      <c r="F48" s="16">
        <f>IF(Table1[[#This Row],[weekday]]&lt;6,2,0)</f>
        <v>2</v>
      </c>
    </row>
    <row r="49" spans="1:6" x14ac:dyDescent="0.35">
      <c r="A49" s="14">
        <f t="shared" si="1"/>
        <v>42417</v>
      </c>
      <c r="B49" s="2">
        <f>Table1[[#This Row],[date]]-day_zero</f>
        <v>47</v>
      </c>
      <c r="C49" s="16">
        <f>WEEKDAY(Table1[[#This Row],[date]],2 )</f>
        <v>3</v>
      </c>
      <c r="D49" s="1">
        <v>15</v>
      </c>
      <c r="E49" s="1">
        <v>7.5</v>
      </c>
      <c r="F49" s="16">
        <f>IF(Table1[[#This Row],[weekday]]&lt;6,2,0)</f>
        <v>2</v>
      </c>
    </row>
    <row r="50" spans="1:6" x14ac:dyDescent="0.35">
      <c r="A50" s="14">
        <f t="shared" si="1"/>
        <v>42418</v>
      </c>
      <c r="B50" s="2">
        <f>Table1[[#This Row],[date]]-day_zero</f>
        <v>48</v>
      </c>
      <c r="C50" s="16">
        <f>WEEKDAY(Table1[[#This Row],[date]],2 )</f>
        <v>4</v>
      </c>
      <c r="D50" s="1">
        <v>15</v>
      </c>
      <c r="E50" s="1">
        <v>7.5</v>
      </c>
      <c r="F50" s="16">
        <f>IF(Table1[[#This Row],[weekday]]&lt;6,2,0)</f>
        <v>2</v>
      </c>
    </row>
    <row r="51" spans="1:6" x14ac:dyDescent="0.35">
      <c r="A51" s="14">
        <f t="shared" si="1"/>
        <v>42419</v>
      </c>
      <c r="B51" s="2">
        <f>Table1[[#This Row],[date]]-day_zero</f>
        <v>49</v>
      </c>
      <c r="C51" s="16">
        <f>WEEKDAY(Table1[[#This Row],[date]],2 )</f>
        <v>5</v>
      </c>
      <c r="D51" s="1">
        <v>15</v>
      </c>
      <c r="E51" s="1">
        <v>7.5</v>
      </c>
      <c r="F51" s="16">
        <f>IF(Table1[[#This Row],[weekday]]&lt;6,2,0)</f>
        <v>2</v>
      </c>
    </row>
    <row r="52" spans="1:6" x14ac:dyDescent="0.35">
      <c r="A52" s="14">
        <f t="shared" si="1"/>
        <v>42420</v>
      </c>
      <c r="B52" s="2">
        <f>Table1[[#This Row],[date]]-day_zero</f>
        <v>50</v>
      </c>
      <c r="C52" s="16">
        <f>WEEKDAY(Table1[[#This Row],[date]],2 )</f>
        <v>6</v>
      </c>
      <c r="D52" s="1">
        <v>15</v>
      </c>
      <c r="E52" s="1">
        <v>7.5</v>
      </c>
      <c r="F52" s="16">
        <f>IF(Table1[[#This Row],[weekday]]&lt;6,2,0)</f>
        <v>0</v>
      </c>
    </row>
    <row r="53" spans="1:6" x14ac:dyDescent="0.35">
      <c r="A53" s="14">
        <f t="shared" si="1"/>
        <v>42421</v>
      </c>
      <c r="B53" s="2">
        <f>Table1[[#This Row],[date]]-day_zero</f>
        <v>51</v>
      </c>
      <c r="C53" s="16">
        <f>WEEKDAY(Table1[[#This Row],[date]],2 )</f>
        <v>7</v>
      </c>
      <c r="D53" s="1">
        <v>15</v>
      </c>
      <c r="E53" s="1">
        <v>7.5</v>
      </c>
      <c r="F53" s="16">
        <f>IF(Table1[[#This Row],[weekday]]&lt;6,2,0)</f>
        <v>0</v>
      </c>
    </row>
    <row r="54" spans="1:6" x14ac:dyDescent="0.35">
      <c r="A54" s="14">
        <f t="shared" si="1"/>
        <v>42422</v>
      </c>
      <c r="B54" s="2">
        <f>Table1[[#This Row],[date]]-day_zero</f>
        <v>52</v>
      </c>
      <c r="C54" s="16">
        <f>WEEKDAY(Table1[[#This Row],[date]],2 )</f>
        <v>1</v>
      </c>
      <c r="D54" s="1">
        <v>15</v>
      </c>
      <c r="E54" s="1">
        <v>7.5</v>
      </c>
      <c r="F54" s="16">
        <f>IF(Table1[[#This Row],[weekday]]&lt;6,2,0)</f>
        <v>2</v>
      </c>
    </row>
    <row r="55" spans="1:6" x14ac:dyDescent="0.35">
      <c r="A55" s="14">
        <f t="shared" si="1"/>
        <v>42423</v>
      </c>
      <c r="B55" s="2">
        <f>Table1[[#This Row],[date]]-day_zero</f>
        <v>53</v>
      </c>
      <c r="C55" s="16">
        <f>WEEKDAY(Table1[[#This Row],[date]],2 )</f>
        <v>2</v>
      </c>
      <c r="D55" s="1">
        <v>15</v>
      </c>
      <c r="E55" s="1">
        <v>7.5</v>
      </c>
      <c r="F55" s="16">
        <f>IF(Table1[[#This Row],[weekday]]&lt;6,2,0)</f>
        <v>2</v>
      </c>
    </row>
    <row r="56" spans="1:6" x14ac:dyDescent="0.35">
      <c r="A56" s="14">
        <f t="shared" si="1"/>
        <v>42424</v>
      </c>
      <c r="B56" s="2">
        <f>Table1[[#This Row],[date]]-day_zero</f>
        <v>54</v>
      </c>
      <c r="C56" s="16">
        <f>WEEKDAY(Table1[[#This Row],[date]],2 )</f>
        <v>3</v>
      </c>
      <c r="D56" s="1">
        <v>15</v>
      </c>
      <c r="E56" s="1">
        <v>7.5</v>
      </c>
      <c r="F56" s="16">
        <f>IF(Table1[[#This Row],[weekday]]&lt;6,2,0)</f>
        <v>2</v>
      </c>
    </row>
    <row r="57" spans="1:6" x14ac:dyDescent="0.35">
      <c r="A57" s="14">
        <f t="shared" si="1"/>
        <v>42425</v>
      </c>
      <c r="B57" s="2">
        <f>Table1[[#This Row],[date]]-day_zero</f>
        <v>55</v>
      </c>
      <c r="C57" s="16">
        <f>WEEKDAY(Table1[[#This Row],[date]],2 )</f>
        <v>4</v>
      </c>
      <c r="D57" s="1">
        <v>15</v>
      </c>
      <c r="E57" s="1">
        <v>7.5</v>
      </c>
      <c r="F57" s="16">
        <f>IF(Table1[[#This Row],[weekday]]&lt;6,2,0)</f>
        <v>2</v>
      </c>
    </row>
    <row r="58" spans="1:6" x14ac:dyDescent="0.35">
      <c r="A58" s="14">
        <f t="shared" si="1"/>
        <v>42426</v>
      </c>
      <c r="B58" s="2">
        <f>Table1[[#This Row],[date]]-day_zero</f>
        <v>56</v>
      </c>
      <c r="C58" s="16">
        <f>WEEKDAY(Table1[[#This Row],[date]],2 )</f>
        <v>5</v>
      </c>
      <c r="D58" s="1">
        <v>15</v>
      </c>
      <c r="E58" s="1">
        <v>7.5</v>
      </c>
      <c r="F58" s="16">
        <f>IF(Table1[[#This Row],[weekday]]&lt;6,2,0)</f>
        <v>2</v>
      </c>
    </row>
    <row r="59" spans="1:6" x14ac:dyDescent="0.35">
      <c r="A59" s="14">
        <f t="shared" si="1"/>
        <v>42427</v>
      </c>
      <c r="B59" s="2">
        <f>Table1[[#This Row],[date]]-day_zero</f>
        <v>57</v>
      </c>
      <c r="C59" s="16">
        <f>WEEKDAY(Table1[[#This Row],[date]],2 )</f>
        <v>6</v>
      </c>
      <c r="D59" s="1">
        <v>15</v>
      </c>
      <c r="E59" s="1">
        <v>7.5</v>
      </c>
      <c r="F59" s="16">
        <f>IF(Table1[[#This Row],[weekday]]&lt;6,2,0)</f>
        <v>0</v>
      </c>
    </row>
    <row r="60" spans="1:6" x14ac:dyDescent="0.35">
      <c r="A60" s="14">
        <f t="shared" si="1"/>
        <v>42428</v>
      </c>
      <c r="B60" s="2">
        <f>Table1[[#This Row],[date]]-day_zero</f>
        <v>58</v>
      </c>
      <c r="C60" s="16">
        <f>WEEKDAY(Table1[[#This Row],[date]],2 )</f>
        <v>7</v>
      </c>
      <c r="D60" s="1">
        <v>15</v>
      </c>
      <c r="E60" s="1">
        <v>7.5</v>
      </c>
      <c r="F60" s="16">
        <f>IF(Table1[[#This Row],[weekday]]&lt;6,2,0)</f>
        <v>0</v>
      </c>
    </row>
    <row r="61" spans="1:6" x14ac:dyDescent="0.35">
      <c r="A61" s="14">
        <f t="shared" si="1"/>
        <v>42429</v>
      </c>
      <c r="B61" s="2">
        <f>Table1[[#This Row],[date]]-day_zero</f>
        <v>59</v>
      </c>
      <c r="C61" s="16">
        <f>WEEKDAY(Table1[[#This Row],[date]],2 )</f>
        <v>1</v>
      </c>
      <c r="D61" s="1">
        <v>15</v>
      </c>
      <c r="E61" s="1">
        <v>7.5</v>
      </c>
      <c r="F61" s="16">
        <f>IF(Table1[[#This Row],[weekday]]&lt;6,2,0)</f>
        <v>2</v>
      </c>
    </row>
    <row r="62" spans="1:6" x14ac:dyDescent="0.35">
      <c r="A62" s="14">
        <f t="shared" si="1"/>
        <v>42430</v>
      </c>
      <c r="B62" s="2">
        <f>Table1[[#This Row],[date]]-day_zero</f>
        <v>60</v>
      </c>
      <c r="C62" s="16">
        <f>WEEKDAY(Table1[[#This Row],[date]],2 )</f>
        <v>2</v>
      </c>
      <c r="D62" s="1">
        <v>15</v>
      </c>
      <c r="E62" s="1">
        <v>7.5</v>
      </c>
      <c r="F62" s="16">
        <f>IF(Table1[[#This Row],[weekday]]&lt;6,2,0)</f>
        <v>2</v>
      </c>
    </row>
    <row r="63" spans="1:6" x14ac:dyDescent="0.35">
      <c r="A63" s="14">
        <f t="shared" si="1"/>
        <v>42431</v>
      </c>
      <c r="B63" s="2">
        <f>Table1[[#This Row],[date]]-day_zero</f>
        <v>61</v>
      </c>
      <c r="C63" s="16">
        <f>WEEKDAY(Table1[[#This Row],[date]],2 )</f>
        <v>3</v>
      </c>
      <c r="D63" s="1">
        <v>15</v>
      </c>
      <c r="E63" s="1">
        <v>7.5</v>
      </c>
      <c r="F63" s="16">
        <f>IF(Table1[[#This Row],[weekday]]&lt;6,2,0)</f>
        <v>2</v>
      </c>
    </row>
    <row r="64" spans="1:6" x14ac:dyDescent="0.35">
      <c r="A64" s="14">
        <f t="shared" si="1"/>
        <v>42432</v>
      </c>
      <c r="B64" s="2">
        <f>Table1[[#This Row],[date]]-day_zero</f>
        <v>62</v>
      </c>
      <c r="C64" s="16">
        <f>WEEKDAY(Table1[[#This Row],[date]],2 )</f>
        <v>4</v>
      </c>
      <c r="D64" s="1">
        <v>15</v>
      </c>
      <c r="E64" s="1">
        <v>7.5</v>
      </c>
      <c r="F64" s="16">
        <f>IF(Table1[[#This Row],[weekday]]&lt;6,2,0)</f>
        <v>2</v>
      </c>
    </row>
    <row r="65" spans="1:6" x14ac:dyDescent="0.35">
      <c r="A65" s="14">
        <f t="shared" si="1"/>
        <v>42433</v>
      </c>
      <c r="B65" s="2">
        <f>Table1[[#This Row],[date]]-day_zero</f>
        <v>63</v>
      </c>
      <c r="C65" s="16">
        <f>WEEKDAY(Table1[[#This Row],[date]],2 )</f>
        <v>5</v>
      </c>
      <c r="D65" s="1">
        <v>15</v>
      </c>
      <c r="E65" s="1">
        <v>7.5</v>
      </c>
      <c r="F65" s="16">
        <f>IF(Table1[[#This Row],[weekday]]&lt;6,2,0)</f>
        <v>2</v>
      </c>
    </row>
    <row r="66" spans="1:6" x14ac:dyDescent="0.35">
      <c r="A66" s="14">
        <f t="shared" si="1"/>
        <v>42434</v>
      </c>
      <c r="B66" s="2">
        <f>Table1[[#This Row],[date]]-day_zero</f>
        <v>64</v>
      </c>
      <c r="C66" s="16">
        <f>WEEKDAY(Table1[[#This Row],[date]],2 )</f>
        <v>6</v>
      </c>
      <c r="D66" s="1">
        <v>15</v>
      </c>
      <c r="E66" s="1">
        <v>7.5</v>
      </c>
      <c r="F66" s="16">
        <f>IF(Table1[[#This Row],[weekday]]&lt;6,2,0)</f>
        <v>0</v>
      </c>
    </row>
    <row r="67" spans="1:6" x14ac:dyDescent="0.35">
      <c r="A67" s="14">
        <f t="shared" si="1"/>
        <v>42435</v>
      </c>
      <c r="B67" s="2">
        <f>Table1[[#This Row],[date]]-day_zero</f>
        <v>65</v>
      </c>
      <c r="C67" s="16">
        <f>WEEKDAY(Table1[[#This Row],[date]],2 )</f>
        <v>7</v>
      </c>
      <c r="D67" s="1">
        <v>15</v>
      </c>
      <c r="E67" s="1">
        <v>7.5</v>
      </c>
      <c r="F67" s="16">
        <f>IF(Table1[[#This Row],[weekday]]&lt;6,2,0)</f>
        <v>0</v>
      </c>
    </row>
    <row r="68" spans="1:6" x14ac:dyDescent="0.35">
      <c r="A68" s="14">
        <f t="shared" si="1"/>
        <v>42436</v>
      </c>
      <c r="B68" s="2">
        <f>Table1[[#This Row],[date]]-day_zero</f>
        <v>66</v>
      </c>
      <c r="C68" s="16">
        <f>WEEKDAY(Table1[[#This Row],[date]],2 )</f>
        <v>1</v>
      </c>
      <c r="D68" s="1">
        <v>15</v>
      </c>
      <c r="E68" s="1">
        <v>7.5</v>
      </c>
      <c r="F68" s="16">
        <f>IF(Table1[[#This Row],[weekday]]&lt;6,2,0)</f>
        <v>2</v>
      </c>
    </row>
    <row r="69" spans="1:6" x14ac:dyDescent="0.35">
      <c r="A69" s="14">
        <f t="shared" si="1"/>
        <v>42437</v>
      </c>
      <c r="B69" s="2">
        <f>Table1[[#This Row],[date]]-day_zero</f>
        <v>67</v>
      </c>
      <c r="C69" s="16">
        <f>WEEKDAY(Table1[[#This Row],[date]],2 )</f>
        <v>2</v>
      </c>
      <c r="D69" s="1">
        <v>15</v>
      </c>
      <c r="E69" s="1">
        <v>7.5</v>
      </c>
      <c r="F69" s="16">
        <f>IF(Table1[[#This Row],[weekday]]&lt;6,2,0)</f>
        <v>2</v>
      </c>
    </row>
    <row r="70" spans="1:6" x14ac:dyDescent="0.35">
      <c r="A70" s="14">
        <f t="shared" si="1"/>
        <v>42438</v>
      </c>
      <c r="B70" s="2">
        <f>Table1[[#This Row],[date]]-day_zero</f>
        <v>68</v>
      </c>
      <c r="C70" s="16">
        <f>WEEKDAY(Table1[[#This Row],[date]],2 )</f>
        <v>3</v>
      </c>
      <c r="D70" s="1">
        <v>15</v>
      </c>
      <c r="E70" s="1">
        <v>7.5</v>
      </c>
      <c r="F70" s="16">
        <f>IF(Table1[[#This Row],[weekday]]&lt;6,2,0)</f>
        <v>2</v>
      </c>
    </row>
    <row r="71" spans="1:6" x14ac:dyDescent="0.35">
      <c r="A71" s="14">
        <f t="shared" si="1"/>
        <v>42439</v>
      </c>
      <c r="B71" s="2">
        <f>Table1[[#This Row],[date]]-day_zero</f>
        <v>69</v>
      </c>
      <c r="C71" s="16">
        <f>WEEKDAY(Table1[[#This Row],[date]],2 )</f>
        <v>4</v>
      </c>
      <c r="D71" s="1">
        <v>15</v>
      </c>
      <c r="E71" s="1">
        <v>7.5</v>
      </c>
      <c r="F71" s="16">
        <f>IF(Table1[[#This Row],[weekday]]&lt;6,2,0)</f>
        <v>2</v>
      </c>
    </row>
    <row r="72" spans="1:6" x14ac:dyDescent="0.35">
      <c r="A72" s="14">
        <f t="shared" si="1"/>
        <v>42440</v>
      </c>
      <c r="B72" s="2">
        <f>Table1[[#This Row],[date]]-day_zero</f>
        <v>70</v>
      </c>
      <c r="C72" s="16">
        <f>WEEKDAY(Table1[[#This Row],[date]],2 )</f>
        <v>5</v>
      </c>
      <c r="D72" s="1">
        <v>15</v>
      </c>
      <c r="E72" s="1">
        <v>7.5</v>
      </c>
      <c r="F72" s="16">
        <f>IF(Table1[[#This Row],[weekday]]&lt;6,2,0)</f>
        <v>2</v>
      </c>
    </row>
    <row r="73" spans="1:6" x14ac:dyDescent="0.35">
      <c r="A73" s="14">
        <f t="shared" si="1"/>
        <v>42441</v>
      </c>
      <c r="B73" s="2">
        <f>Table1[[#This Row],[date]]-day_zero</f>
        <v>71</v>
      </c>
      <c r="C73" s="16">
        <f>WEEKDAY(Table1[[#This Row],[date]],2 )</f>
        <v>6</v>
      </c>
      <c r="D73" s="1">
        <v>15</v>
      </c>
      <c r="E73" s="1">
        <v>7.5</v>
      </c>
      <c r="F73" s="16">
        <f>IF(Table1[[#This Row],[weekday]]&lt;6,2,0)</f>
        <v>0</v>
      </c>
    </row>
    <row r="74" spans="1:6" x14ac:dyDescent="0.35">
      <c r="A74" s="14">
        <f t="shared" si="1"/>
        <v>42442</v>
      </c>
      <c r="B74" s="2">
        <f>Table1[[#This Row],[date]]-day_zero</f>
        <v>72</v>
      </c>
      <c r="C74" s="16">
        <f>WEEKDAY(Table1[[#This Row],[date]],2 )</f>
        <v>7</v>
      </c>
      <c r="D74" s="1">
        <v>15</v>
      </c>
      <c r="E74" s="1">
        <v>7.5</v>
      </c>
      <c r="F74" s="16">
        <f>IF(Table1[[#This Row],[weekday]]&lt;6,2,0)</f>
        <v>0</v>
      </c>
    </row>
    <row r="75" spans="1:6" x14ac:dyDescent="0.35">
      <c r="A75" s="14">
        <f t="shared" si="1"/>
        <v>42443</v>
      </c>
      <c r="B75" s="2">
        <f>Table1[[#This Row],[date]]-day_zero</f>
        <v>73</v>
      </c>
      <c r="C75" s="16">
        <f>WEEKDAY(Table1[[#This Row],[date]],2 )</f>
        <v>1</v>
      </c>
      <c r="D75" s="1">
        <v>15</v>
      </c>
      <c r="E75" s="1">
        <v>7.5</v>
      </c>
      <c r="F75" s="16">
        <f>IF(Table1[[#This Row],[weekday]]&lt;6,2,0)</f>
        <v>2</v>
      </c>
    </row>
    <row r="76" spans="1:6" x14ac:dyDescent="0.35">
      <c r="A76" s="14">
        <f t="shared" ref="A76:A139" si="2">A75+1</f>
        <v>42444</v>
      </c>
      <c r="B76" s="2">
        <f>Table1[[#This Row],[date]]-day_zero</f>
        <v>74</v>
      </c>
      <c r="C76" s="16">
        <f>WEEKDAY(Table1[[#This Row],[date]],2 )</f>
        <v>2</v>
      </c>
      <c r="D76" s="1">
        <v>15</v>
      </c>
      <c r="E76" s="1">
        <v>7.5</v>
      </c>
      <c r="F76" s="16">
        <f>IF(Table1[[#This Row],[weekday]]&lt;6,2,0)</f>
        <v>2</v>
      </c>
    </row>
    <row r="77" spans="1:6" x14ac:dyDescent="0.35">
      <c r="A77" s="14">
        <f t="shared" si="2"/>
        <v>42445</v>
      </c>
      <c r="B77" s="2">
        <f>Table1[[#This Row],[date]]-day_zero</f>
        <v>75</v>
      </c>
      <c r="C77" s="16">
        <f>WEEKDAY(Table1[[#This Row],[date]],2 )</f>
        <v>3</v>
      </c>
      <c r="D77" s="1">
        <v>15</v>
      </c>
      <c r="E77" s="1">
        <v>7.5</v>
      </c>
      <c r="F77" s="16">
        <f>IF(Table1[[#This Row],[weekday]]&lt;6,2,0)</f>
        <v>2</v>
      </c>
    </row>
    <row r="78" spans="1:6" x14ac:dyDescent="0.35">
      <c r="A78" s="14">
        <f t="shared" si="2"/>
        <v>42446</v>
      </c>
      <c r="B78" s="2">
        <f>Table1[[#This Row],[date]]-day_zero</f>
        <v>76</v>
      </c>
      <c r="C78" s="16">
        <f>WEEKDAY(Table1[[#This Row],[date]],2 )</f>
        <v>4</v>
      </c>
      <c r="D78" s="1">
        <v>15</v>
      </c>
      <c r="E78" s="1">
        <v>7.5</v>
      </c>
      <c r="F78" s="16">
        <f>IF(Table1[[#This Row],[weekday]]&lt;6,2,0)</f>
        <v>2</v>
      </c>
    </row>
    <row r="79" spans="1:6" x14ac:dyDescent="0.35">
      <c r="A79" s="14">
        <f t="shared" si="2"/>
        <v>42447</v>
      </c>
      <c r="B79" s="2">
        <f>Table1[[#This Row],[date]]-day_zero</f>
        <v>77</v>
      </c>
      <c r="C79" s="16">
        <f>WEEKDAY(Table1[[#This Row],[date]],2 )</f>
        <v>5</v>
      </c>
      <c r="D79" s="1">
        <v>15</v>
      </c>
      <c r="E79" s="1">
        <v>7.5</v>
      </c>
      <c r="F79" s="16">
        <f>IF(Table1[[#This Row],[weekday]]&lt;6,2,0)</f>
        <v>2</v>
      </c>
    </row>
    <row r="80" spans="1:6" x14ac:dyDescent="0.35">
      <c r="A80" s="14">
        <f t="shared" si="2"/>
        <v>42448</v>
      </c>
      <c r="B80" s="2">
        <f>Table1[[#This Row],[date]]-day_zero</f>
        <v>78</v>
      </c>
      <c r="C80" s="16">
        <f>WEEKDAY(Table1[[#This Row],[date]],2 )</f>
        <v>6</v>
      </c>
      <c r="D80" s="1">
        <v>15</v>
      </c>
      <c r="E80" s="1">
        <v>7.5</v>
      </c>
      <c r="F80" s="16">
        <f>IF(Table1[[#This Row],[weekday]]&lt;6,2,0)</f>
        <v>0</v>
      </c>
    </row>
    <row r="81" spans="1:6" x14ac:dyDescent="0.35">
      <c r="A81" s="14">
        <f t="shared" si="2"/>
        <v>42449</v>
      </c>
      <c r="B81" s="2">
        <f>Table1[[#This Row],[date]]-day_zero</f>
        <v>79</v>
      </c>
      <c r="C81" s="16">
        <f>WEEKDAY(Table1[[#This Row],[date]],2 )</f>
        <v>7</v>
      </c>
      <c r="D81" s="1">
        <v>15</v>
      </c>
      <c r="E81" s="1">
        <v>7.5</v>
      </c>
      <c r="F81" s="16">
        <f>IF(Table1[[#This Row],[weekday]]&lt;6,2,0)</f>
        <v>0</v>
      </c>
    </row>
    <row r="82" spans="1:6" x14ac:dyDescent="0.35">
      <c r="A82" s="14">
        <f t="shared" si="2"/>
        <v>42450</v>
      </c>
      <c r="B82" s="2">
        <f>Table1[[#This Row],[date]]-day_zero</f>
        <v>80</v>
      </c>
      <c r="C82" s="16">
        <f>WEEKDAY(Table1[[#This Row],[date]],2 )</f>
        <v>1</v>
      </c>
      <c r="D82" s="1">
        <v>15</v>
      </c>
      <c r="E82" s="1">
        <v>7.5</v>
      </c>
      <c r="F82" s="16">
        <f>IF(Table1[[#This Row],[weekday]]&lt;6,2,0)</f>
        <v>2</v>
      </c>
    </row>
    <row r="83" spans="1:6" x14ac:dyDescent="0.35">
      <c r="A83" s="14">
        <f t="shared" si="2"/>
        <v>42451</v>
      </c>
      <c r="B83" s="2">
        <f>Table1[[#This Row],[date]]-day_zero</f>
        <v>81</v>
      </c>
      <c r="C83" s="16">
        <f>WEEKDAY(Table1[[#This Row],[date]],2 )</f>
        <v>2</v>
      </c>
      <c r="D83" s="1">
        <v>15</v>
      </c>
      <c r="E83" s="1">
        <v>7.5</v>
      </c>
      <c r="F83" s="16">
        <f>IF(Table1[[#This Row],[weekday]]&lt;6,2,0)</f>
        <v>2</v>
      </c>
    </row>
    <row r="84" spans="1:6" x14ac:dyDescent="0.35">
      <c r="A84" s="14">
        <f t="shared" si="2"/>
        <v>42452</v>
      </c>
      <c r="B84" s="2">
        <f>Table1[[#This Row],[date]]-day_zero</f>
        <v>82</v>
      </c>
      <c r="C84" s="16">
        <f>WEEKDAY(Table1[[#This Row],[date]],2 )</f>
        <v>3</v>
      </c>
      <c r="D84" s="1">
        <v>15</v>
      </c>
      <c r="E84" s="1">
        <v>7.5</v>
      </c>
      <c r="F84" s="16">
        <f>IF(Table1[[#This Row],[weekday]]&lt;6,2,0)</f>
        <v>2</v>
      </c>
    </row>
    <row r="85" spans="1:6" x14ac:dyDescent="0.35">
      <c r="A85" s="14">
        <f t="shared" si="2"/>
        <v>42453</v>
      </c>
      <c r="B85" s="2">
        <f>Table1[[#This Row],[date]]-day_zero</f>
        <v>83</v>
      </c>
      <c r="C85" s="16">
        <f>WEEKDAY(Table1[[#This Row],[date]],2 )</f>
        <v>4</v>
      </c>
      <c r="D85" s="1">
        <v>15</v>
      </c>
      <c r="E85" s="1">
        <v>7.5</v>
      </c>
      <c r="F85" s="16">
        <f>IF(Table1[[#This Row],[weekday]]&lt;6,2,0)</f>
        <v>2</v>
      </c>
    </row>
    <row r="86" spans="1:6" x14ac:dyDescent="0.35">
      <c r="A86" s="14">
        <f t="shared" si="2"/>
        <v>42454</v>
      </c>
      <c r="B86" s="2">
        <f>Table1[[#This Row],[date]]-day_zero</f>
        <v>84</v>
      </c>
      <c r="C86" s="16">
        <f>WEEKDAY(Table1[[#This Row],[date]],2 )</f>
        <v>5</v>
      </c>
      <c r="D86" s="1">
        <v>15</v>
      </c>
      <c r="E86" s="1">
        <v>7.5</v>
      </c>
      <c r="F86" s="16">
        <f>IF(Table1[[#This Row],[weekday]]&lt;6,2,0)</f>
        <v>2</v>
      </c>
    </row>
    <row r="87" spans="1:6" x14ac:dyDescent="0.35">
      <c r="A87" s="14">
        <f t="shared" si="2"/>
        <v>42455</v>
      </c>
      <c r="B87" s="2">
        <f>Table1[[#This Row],[date]]-day_zero</f>
        <v>85</v>
      </c>
      <c r="C87" s="16">
        <f>WEEKDAY(Table1[[#This Row],[date]],2 )</f>
        <v>6</v>
      </c>
      <c r="D87" s="1">
        <v>15</v>
      </c>
      <c r="E87" s="1">
        <v>7.5</v>
      </c>
      <c r="F87" s="16">
        <f>IF(Table1[[#This Row],[weekday]]&lt;6,2,0)</f>
        <v>0</v>
      </c>
    </row>
    <row r="88" spans="1:6" x14ac:dyDescent="0.35">
      <c r="A88" s="14">
        <f t="shared" si="2"/>
        <v>42456</v>
      </c>
      <c r="B88" s="2">
        <f>Table1[[#This Row],[date]]-day_zero</f>
        <v>86</v>
      </c>
      <c r="C88" s="16">
        <f>WEEKDAY(Table1[[#This Row],[date]],2 )</f>
        <v>7</v>
      </c>
      <c r="D88" s="1">
        <v>15</v>
      </c>
      <c r="E88" s="1">
        <v>7.5</v>
      </c>
      <c r="F88" s="16">
        <f>IF(Table1[[#This Row],[weekday]]&lt;6,2,0)</f>
        <v>0</v>
      </c>
    </row>
    <row r="89" spans="1:6" x14ac:dyDescent="0.35">
      <c r="A89" s="14">
        <f t="shared" si="2"/>
        <v>42457</v>
      </c>
      <c r="B89" s="2">
        <f>Table1[[#This Row],[date]]-day_zero</f>
        <v>87</v>
      </c>
      <c r="C89" s="16">
        <f>WEEKDAY(Table1[[#This Row],[date]],2 )</f>
        <v>1</v>
      </c>
      <c r="D89" s="1">
        <v>15</v>
      </c>
      <c r="E89" s="1">
        <v>7.5</v>
      </c>
      <c r="F89" s="16">
        <f>IF(Table1[[#This Row],[weekday]]&lt;6,2,0)</f>
        <v>2</v>
      </c>
    </row>
    <row r="90" spans="1:6" x14ac:dyDescent="0.35">
      <c r="A90" s="14">
        <f t="shared" si="2"/>
        <v>42458</v>
      </c>
      <c r="B90" s="2">
        <f>Table1[[#This Row],[date]]-day_zero</f>
        <v>88</v>
      </c>
      <c r="C90" s="16">
        <f>WEEKDAY(Table1[[#This Row],[date]],2 )</f>
        <v>2</v>
      </c>
      <c r="D90" s="1">
        <v>15</v>
      </c>
      <c r="E90" s="1">
        <v>7.5</v>
      </c>
      <c r="F90" s="16">
        <f>IF(Table1[[#This Row],[weekday]]&lt;6,2,0)</f>
        <v>2</v>
      </c>
    </row>
    <row r="91" spans="1:6" x14ac:dyDescent="0.35">
      <c r="A91" s="14">
        <f t="shared" si="2"/>
        <v>42459</v>
      </c>
      <c r="B91" s="2">
        <f>Table1[[#This Row],[date]]-day_zero</f>
        <v>89</v>
      </c>
      <c r="C91" s="16">
        <f>WEEKDAY(Table1[[#This Row],[date]],2 )</f>
        <v>3</v>
      </c>
      <c r="D91" s="1">
        <v>15</v>
      </c>
      <c r="E91" s="1">
        <v>7.5</v>
      </c>
      <c r="F91" s="16">
        <f>IF(Table1[[#This Row],[weekday]]&lt;6,2,0)</f>
        <v>2</v>
      </c>
    </row>
    <row r="92" spans="1:6" x14ac:dyDescent="0.35">
      <c r="A92" s="14">
        <f t="shared" si="2"/>
        <v>42460</v>
      </c>
      <c r="B92" s="2">
        <f>Table1[[#This Row],[date]]-day_zero</f>
        <v>90</v>
      </c>
      <c r="C92" s="16">
        <f>WEEKDAY(Table1[[#This Row],[date]],2 )</f>
        <v>4</v>
      </c>
      <c r="D92" s="1">
        <v>15</v>
      </c>
      <c r="E92" s="1">
        <v>7.5</v>
      </c>
      <c r="F92" s="16">
        <f>IF(Table1[[#This Row],[weekday]]&lt;6,2,0)</f>
        <v>2</v>
      </c>
    </row>
    <row r="93" spans="1:6" x14ac:dyDescent="0.35">
      <c r="A93" s="14">
        <f t="shared" si="2"/>
        <v>42461</v>
      </c>
      <c r="B93" s="2">
        <f>Table1[[#This Row],[date]]-day_zero</f>
        <v>91</v>
      </c>
      <c r="C93" s="16">
        <f>WEEKDAY(Table1[[#This Row],[date]],2 )</f>
        <v>5</v>
      </c>
      <c r="D93" s="1">
        <v>15</v>
      </c>
      <c r="E93" s="1">
        <v>7.5</v>
      </c>
      <c r="F93" s="16">
        <f>IF(Table1[[#This Row],[weekday]]&lt;6,2,0)</f>
        <v>2</v>
      </c>
    </row>
    <row r="94" spans="1:6" x14ac:dyDescent="0.35">
      <c r="A94" s="14">
        <f t="shared" si="2"/>
        <v>42462</v>
      </c>
      <c r="B94" s="2">
        <f>Table1[[#This Row],[date]]-day_zero</f>
        <v>92</v>
      </c>
      <c r="C94" s="16">
        <f>WEEKDAY(Table1[[#This Row],[date]],2 )</f>
        <v>6</v>
      </c>
      <c r="D94" s="1">
        <v>15</v>
      </c>
      <c r="E94" s="1">
        <v>7.5</v>
      </c>
      <c r="F94" s="16">
        <f>IF(Table1[[#This Row],[weekday]]&lt;6,2,0)</f>
        <v>0</v>
      </c>
    </row>
    <row r="95" spans="1:6" x14ac:dyDescent="0.35">
      <c r="A95" s="14">
        <f t="shared" si="2"/>
        <v>42463</v>
      </c>
      <c r="B95" s="2">
        <f>Table1[[#This Row],[date]]-day_zero</f>
        <v>93</v>
      </c>
      <c r="C95" s="16">
        <f>WEEKDAY(Table1[[#This Row],[date]],2 )</f>
        <v>7</v>
      </c>
      <c r="D95" s="1">
        <v>15</v>
      </c>
      <c r="E95" s="1">
        <v>7.5</v>
      </c>
      <c r="F95" s="16">
        <f>IF(Table1[[#This Row],[weekday]]&lt;6,2,0)</f>
        <v>0</v>
      </c>
    </row>
    <row r="96" spans="1:6" x14ac:dyDescent="0.35">
      <c r="A96" s="14">
        <f t="shared" si="2"/>
        <v>42464</v>
      </c>
      <c r="B96" s="2">
        <f>Table1[[#This Row],[date]]-day_zero</f>
        <v>94</v>
      </c>
      <c r="C96" s="16">
        <f>WEEKDAY(Table1[[#This Row],[date]],2 )</f>
        <v>1</v>
      </c>
      <c r="D96" s="1">
        <v>15</v>
      </c>
      <c r="E96" s="1">
        <v>7.5</v>
      </c>
      <c r="F96" s="16">
        <f>IF(Table1[[#This Row],[weekday]]&lt;6,2,0)</f>
        <v>2</v>
      </c>
    </row>
    <row r="97" spans="1:6" x14ac:dyDescent="0.35">
      <c r="A97" s="14">
        <f t="shared" si="2"/>
        <v>42465</v>
      </c>
      <c r="B97" s="2">
        <f>Table1[[#This Row],[date]]-day_zero</f>
        <v>95</v>
      </c>
      <c r="C97" s="16">
        <f>WEEKDAY(Table1[[#This Row],[date]],2 )</f>
        <v>2</v>
      </c>
      <c r="D97" s="1">
        <v>15</v>
      </c>
      <c r="E97" s="1">
        <v>7.5</v>
      </c>
      <c r="F97" s="16">
        <f>IF(Table1[[#This Row],[weekday]]&lt;6,2,0)</f>
        <v>2</v>
      </c>
    </row>
    <row r="98" spans="1:6" x14ac:dyDescent="0.35">
      <c r="A98" s="14">
        <f t="shared" si="2"/>
        <v>42466</v>
      </c>
      <c r="B98" s="2">
        <f>Table1[[#This Row],[date]]-day_zero</f>
        <v>96</v>
      </c>
      <c r="C98" s="16">
        <f>WEEKDAY(Table1[[#This Row],[date]],2 )</f>
        <v>3</v>
      </c>
      <c r="D98" s="1">
        <v>15</v>
      </c>
      <c r="E98" s="1">
        <v>7.5</v>
      </c>
      <c r="F98" s="16">
        <f>IF(Table1[[#This Row],[weekday]]&lt;6,2,0)</f>
        <v>2</v>
      </c>
    </row>
    <row r="99" spans="1:6" x14ac:dyDescent="0.35">
      <c r="A99" s="14">
        <f t="shared" si="2"/>
        <v>42467</v>
      </c>
      <c r="B99" s="2">
        <f>Table1[[#This Row],[date]]-day_zero</f>
        <v>97</v>
      </c>
      <c r="C99" s="16">
        <f>WEEKDAY(Table1[[#This Row],[date]],2 )</f>
        <v>4</v>
      </c>
      <c r="D99" s="1">
        <v>15</v>
      </c>
      <c r="E99" s="1">
        <v>7.5</v>
      </c>
      <c r="F99" s="16">
        <f>IF(Table1[[#This Row],[weekday]]&lt;6,2,0)</f>
        <v>2</v>
      </c>
    </row>
    <row r="100" spans="1:6" x14ac:dyDescent="0.35">
      <c r="A100" s="14">
        <f t="shared" si="2"/>
        <v>42468</v>
      </c>
      <c r="B100" s="2">
        <f>Table1[[#This Row],[date]]-day_zero</f>
        <v>98</v>
      </c>
      <c r="C100" s="16">
        <f>WEEKDAY(Table1[[#This Row],[date]],2 )</f>
        <v>5</v>
      </c>
      <c r="D100" s="1">
        <v>15</v>
      </c>
      <c r="E100" s="1">
        <v>7.5</v>
      </c>
      <c r="F100" s="16">
        <f>IF(Table1[[#This Row],[weekday]]&lt;6,2,0)</f>
        <v>2</v>
      </c>
    </row>
    <row r="101" spans="1:6" x14ac:dyDescent="0.35">
      <c r="A101" s="14">
        <f t="shared" si="2"/>
        <v>42469</v>
      </c>
      <c r="B101" s="2">
        <f>Table1[[#This Row],[date]]-day_zero</f>
        <v>99</v>
      </c>
      <c r="C101" s="16">
        <f>WEEKDAY(Table1[[#This Row],[date]],2 )</f>
        <v>6</v>
      </c>
      <c r="D101" s="1">
        <v>15</v>
      </c>
      <c r="E101" s="1">
        <v>7.5</v>
      </c>
      <c r="F101" s="16">
        <f>IF(Table1[[#This Row],[weekday]]&lt;6,2,0)</f>
        <v>0</v>
      </c>
    </row>
    <row r="102" spans="1:6" x14ac:dyDescent="0.35">
      <c r="A102" s="14">
        <f t="shared" si="2"/>
        <v>42470</v>
      </c>
      <c r="B102" s="2">
        <f>Table1[[#This Row],[date]]-day_zero</f>
        <v>100</v>
      </c>
      <c r="C102" s="16">
        <f>WEEKDAY(Table1[[#This Row],[date]],2 )</f>
        <v>7</v>
      </c>
      <c r="D102" s="1">
        <v>15</v>
      </c>
      <c r="E102" s="1">
        <v>7.5</v>
      </c>
      <c r="F102" s="16">
        <f>IF(Table1[[#This Row],[weekday]]&lt;6,2,0)</f>
        <v>0</v>
      </c>
    </row>
    <row r="103" spans="1:6" x14ac:dyDescent="0.35">
      <c r="A103" s="14">
        <f t="shared" si="2"/>
        <v>42471</v>
      </c>
      <c r="B103" s="2">
        <f>Table1[[#This Row],[date]]-day_zero</f>
        <v>101</v>
      </c>
      <c r="C103" s="16">
        <f>WEEKDAY(Table1[[#This Row],[date]],2 )</f>
        <v>1</v>
      </c>
      <c r="D103" s="1">
        <v>15</v>
      </c>
      <c r="E103" s="1">
        <v>7.5</v>
      </c>
      <c r="F103" s="16">
        <f>IF(Table1[[#This Row],[weekday]]&lt;6,2,0)</f>
        <v>2</v>
      </c>
    </row>
    <row r="104" spans="1:6" x14ac:dyDescent="0.35">
      <c r="A104" s="14">
        <f t="shared" si="2"/>
        <v>42472</v>
      </c>
      <c r="B104" s="2">
        <f>Table1[[#This Row],[date]]-day_zero</f>
        <v>102</v>
      </c>
      <c r="C104" s="16">
        <f>WEEKDAY(Table1[[#This Row],[date]],2 )</f>
        <v>2</v>
      </c>
      <c r="D104" s="1">
        <v>15</v>
      </c>
      <c r="E104" s="1">
        <v>7.5</v>
      </c>
      <c r="F104" s="16">
        <f>IF(Table1[[#This Row],[weekday]]&lt;6,2,0)</f>
        <v>2</v>
      </c>
    </row>
    <row r="105" spans="1:6" x14ac:dyDescent="0.35">
      <c r="A105" s="14">
        <f t="shared" si="2"/>
        <v>42473</v>
      </c>
      <c r="B105" s="2">
        <f>Table1[[#This Row],[date]]-day_zero</f>
        <v>103</v>
      </c>
      <c r="C105" s="16">
        <f>WEEKDAY(Table1[[#This Row],[date]],2 )</f>
        <v>3</v>
      </c>
      <c r="D105" s="1">
        <v>15</v>
      </c>
      <c r="E105" s="1">
        <v>7.5</v>
      </c>
      <c r="F105" s="16">
        <f>IF(Table1[[#This Row],[weekday]]&lt;6,2,0)</f>
        <v>2</v>
      </c>
    </row>
    <row r="106" spans="1:6" x14ac:dyDescent="0.35">
      <c r="A106" s="14">
        <f t="shared" si="2"/>
        <v>42474</v>
      </c>
      <c r="B106" s="2">
        <f>Table1[[#This Row],[date]]-day_zero</f>
        <v>104</v>
      </c>
      <c r="C106" s="16">
        <f>WEEKDAY(Table1[[#This Row],[date]],2 )</f>
        <v>4</v>
      </c>
      <c r="D106" s="1">
        <v>15</v>
      </c>
      <c r="E106" s="1">
        <v>7.5</v>
      </c>
      <c r="F106" s="16">
        <f>IF(Table1[[#This Row],[weekday]]&lt;6,2,0)</f>
        <v>2</v>
      </c>
    </row>
    <row r="107" spans="1:6" x14ac:dyDescent="0.35">
      <c r="A107" s="14">
        <f t="shared" si="2"/>
        <v>42475</v>
      </c>
      <c r="B107" s="2">
        <f>Table1[[#This Row],[date]]-day_zero</f>
        <v>105</v>
      </c>
      <c r="C107" s="16">
        <f>WEEKDAY(Table1[[#This Row],[date]],2 )</f>
        <v>5</v>
      </c>
      <c r="D107" s="1">
        <v>15</v>
      </c>
      <c r="E107" s="1">
        <v>7.5</v>
      </c>
      <c r="F107" s="16">
        <f>IF(Table1[[#This Row],[weekday]]&lt;6,2,0)</f>
        <v>2</v>
      </c>
    </row>
    <row r="108" spans="1:6" x14ac:dyDescent="0.35">
      <c r="A108" s="14">
        <f t="shared" si="2"/>
        <v>42476</v>
      </c>
      <c r="B108" s="2">
        <f>Table1[[#This Row],[date]]-day_zero</f>
        <v>106</v>
      </c>
      <c r="C108" s="16">
        <f>WEEKDAY(Table1[[#This Row],[date]],2 )</f>
        <v>6</v>
      </c>
      <c r="D108" s="1">
        <v>15</v>
      </c>
      <c r="E108" s="1">
        <v>7.5</v>
      </c>
      <c r="F108" s="16">
        <f>IF(Table1[[#This Row],[weekday]]&lt;6,2,0)</f>
        <v>0</v>
      </c>
    </row>
    <row r="109" spans="1:6" x14ac:dyDescent="0.35">
      <c r="A109" s="14">
        <f t="shared" si="2"/>
        <v>42477</v>
      </c>
      <c r="B109" s="2">
        <f>Table1[[#This Row],[date]]-day_zero</f>
        <v>107</v>
      </c>
      <c r="C109" s="16">
        <f>WEEKDAY(Table1[[#This Row],[date]],2 )</f>
        <v>7</v>
      </c>
      <c r="D109" s="1">
        <v>15</v>
      </c>
      <c r="E109" s="1">
        <v>7.5</v>
      </c>
      <c r="F109" s="16">
        <f>IF(Table1[[#This Row],[weekday]]&lt;6,2,0)</f>
        <v>0</v>
      </c>
    </row>
    <row r="110" spans="1:6" x14ac:dyDescent="0.35">
      <c r="A110" s="14">
        <f t="shared" si="2"/>
        <v>42478</v>
      </c>
      <c r="B110" s="2">
        <f>Table1[[#This Row],[date]]-day_zero</f>
        <v>108</v>
      </c>
      <c r="C110" s="16">
        <f>WEEKDAY(Table1[[#This Row],[date]],2 )</f>
        <v>1</v>
      </c>
      <c r="D110" s="1">
        <v>15</v>
      </c>
      <c r="E110" s="1">
        <v>7.5</v>
      </c>
      <c r="F110" s="16">
        <f>IF(Table1[[#This Row],[weekday]]&lt;6,2,0)</f>
        <v>2</v>
      </c>
    </row>
    <row r="111" spans="1:6" x14ac:dyDescent="0.35">
      <c r="A111" s="14">
        <f t="shared" si="2"/>
        <v>42479</v>
      </c>
      <c r="B111" s="2">
        <f>Table1[[#This Row],[date]]-day_zero</f>
        <v>109</v>
      </c>
      <c r="C111" s="16">
        <f>WEEKDAY(Table1[[#This Row],[date]],2 )</f>
        <v>2</v>
      </c>
      <c r="D111" s="1">
        <v>15</v>
      </c>
      <c r="E111" s="1">
        <v>7.5</v>
      </c>
      <c r="F111" s="16">
        <f>IF(Table1[[#This Row],[weekday]]&lt;6,2,0)</f>
        <v>2</v>
      </c>
    </row>
    <row r="112" spans="1:6" x14ac:dyDescent="0.35">
      <c r="A112" s="14">
        <f t="shared" si="2"/>
        <v>42480</v>
      </c>
      <c r="B112" s="2">
        <f>Table1[[#This Row],[date]]-day_zero</f>
        <v>110</v>
      </c>
      <c r="C112" s="16">
        <f>WEEKDAY(Table1[[#This Row],[date]],2 )</f>
        <v>3</v>
      </c>
      <c r="D112" s="1">
        <v>15</v>
      </c>
      <c r="E112" s="1">
        <v>7.5</v>
      </c>
      <c r="F112" s="16">
        <f>IF(Table1[[#This Row],[weekday]]&lt;6,2,0)</f>
        <v>2</v>
      </c>
    </row>
    <row r="113" spans="1:6" x14ac:dyDescent="0.35">
      <c r="A113" s="14">
        <f t="shared" si="2"/>
        <v>42481</v>
      </c>
      <c r="B113" s="2">
        <f>Table1[[#This Row],[date]]-day_zero</f>
        <v>111</v>
      </c>
      <c r="C113" s="16">
        <f>WEEKDAY(Table1[[#This Row],[date]],2 )</f>
        <v>4</v>
      </c>
      <c r="D113" s="1">
        <v>15</v>
      </c>
      <c r="E113" s="1">
        <v>7.5</v>
      </c>
      <c r="F113" s="16">
        <f>IF(Table1[[#This Row],[weekday]]&lt;6,2,0)</f>
        <v>2</v>
      </c>
    </row>
    <row r="114" spans="1:6" x14ac:dyDescent="0.35">
      <c r="A114" s="14">
        <f t="shared" si="2"/>
        <v>42482</v>
      </c>
      <c r="B114" s="2">
        <f>Table1[[#This Row],[date]]-day_zero</f>
        <v>112</v>
      </c>
      <c r="C114" s="16">
        <f>WEEKDAY(Table1[[#This Row],[date]],2 )</f>
        <v>5</v>
      </c>
      <c r="D114" s="1">
        <v>15</v>
      </c>
      <c r="E114" s="1">
        <v>7.5</v>
      </c>
      <c r="F114" s="16">
        <f>IF(Table1[[#This Row],[weekday]]&lt;6,2,0)</f>
        <v>2</v>
      </c>
    </row>
    <row r="115" spans="1:6" x14ac:dyDescent="0.35">
      <c r="A115" s="14">
        <f t="shared" si="2"/>
        <v>42483</v>
      </c>
      <c r="B115" s="2">
        <f>Table1[[#This Row],[date]]-day_zero</f>
        <v>113</v>
      </c>
      <c r="C115" s="16">
        <f>WEEKDAY(Table1[[#This Row],[date]],2 )</f>
        <v>6</v>
      </c>
      <c r="D115" s="1">
        <v>15</v>
      </c>
      <c r="E115" s="1">
        <v>7.5</v>
      </c>
      <c r="F115" s="16">
        <f>IF(Table1[[#This Row],[weekday]]&lt;6,2,0)</f>
        <v>0</v>
      </c>
    </row>
    <row r="116" spans="1:6" x14ac:dyDescent="0.35">
      <c r="A116" s="14">
        <f t="shared" si="2"/>
        <v>42484</v>
      </c>
      <c r="B116" s="2">
        <f>Table1[[#This Row],[date]]-day_zero</f>
        <v>114</v>
      </c>
      <c r="C116" s="16">
        <f>WEEKDAY(Table1[[#This Row],[date]],2 )</f>
        <v>7</v>
      </c>
      <c r="D116" s="1">
        <v>15</v>
      </c>
      <c r="E116" s="1">
        <v>7.5</v>
      </c>
      <c r="F116" s="16">
        <f>IF(Table1[[#This Row],[weekday]]&lt;6,2,0)</f>
        <v>0</v>
      </c>
    </row>
    <row r="117" spans="1:6" x14ac:dyDescent="0.35">
      <c r="A117" s="14">
        <f t="shared" si="2"/>
        <v>42485</v>
      </c>
      <c r="B117" s="2">
        <f>Table1[[#This Row],[date]]-day_zero</f>
        <v>115</v>
      </c>
      <c r="C117" s="16">
        <f>WEEKDAY(Table1[[#This Row],[date]],2 )</f>
        <v>1</v>
      </c>
      <c r="D117" s="1">
        <v>15</v>
      </c>
      <c r="E117" s="1">
        <v>7.5</v>
      </c>
      <c r="F117" s="16">
        <f>IF(Table1[[#This Row],[weekday]]&lt;6,2,0)</f>
        <v>2</v>
      </c>
    </row>
    <row r="118" spans="1:6" x14ac:dyDescent="0.35">
      <c r="A118" s="14">
        <f t="shared" si="2"/>
        <v>42486</v>
      </c>
      <c r="B118" s="2">
        <f>Table1[[#This Row],[date]]-day_zero</f>
        <v>116</v>
      </c>
      <c r="C118" s="16">
        <f>WEEKDAY(Table1[[#This Row],[date]],2 )</f>
        <v>2</v>
      </c>
      <c r="D118" s="1">
        <v>15</v>
      </c>
      <c r="E118" s="1">
        <v>7.5</v>
      </c>
      <c r="F118" s="16">
        <f>IF(Table1[[#This Row],[weekday]]&lt;6,2,0)</f>
        <v>2</v>
      </c>
    </row>
    <row r="119" spans="1:6" x14ac:dyDescent="0.35">
      <c r="A119" s="14">
        <f t="shared" si="2"/>
        <v>42487</v>
      </c>
      <c r="B119" s="2">
        <f>Table1[[#This Row],[date]]-day_zero</f>
        <v>117</v>
      </c>
      <c r="C119" s="16">
        <f>WEEKDAY(Table1[[#This Row],[date]],2 )</f>
        <v>3</v>
      </c>
      <c r="D119" s="1">
        <v>15</v>
      </c>
      <c r="E119" s="1">
        <v>7.5</v>
      </c>
      <c r="F119" s="16">
        <f>IF(Table1[[#This Row],[weekday]]&lt;6,2,0)</f>
        <v>2</v>
      </c>
    </row>
    <row r="120" spans="1:6" x14ac:dyDescent="0.35">
      <c r="A120" s="14">
        <f t="shared" si="2"/>
        <v>42488</v>
      </c>
      <c r="B120" s="2">
        <f>Table1[[#This Row],[date]]-day_zero</f>
        <v>118</v>
      </c>
      <c r="C120" s="16">
        <f>WEEKDAY(Table1[[#This Row],[date]],2 )</f>
        <v>4</v>
      </c>
      <c r="D120" s="1">
        <v>15</v>
      </c>
      <c r="E120" s="1">
        <v>7.5</v>
      </c>
      <c r="F120" s="16">
        <f>IF(Table1[[#This Row],[weekday]]&lt;6,2,0)</f>
        <v>2</v>
      </c>
    </row>
    <row r="121" spans="1:6" x14ac:dyDescent="0.35">
      <c r="A121" s="14">
        <f t="shared" si="2"/>
        <v>42489</v>
      </c>
      <c r="B121" s="2">
        <f>Table1[[#This Row],[date]]-day_zero</f>
        <v>119</v>
      </c>
      <c r="C121" s="16">
        <f>WEEKDAY(Table1[[#This Row],[date]],2 )</f>
        <v>5</v>
      </c>
      <c r="D121" s="1">
        <v>15</v>
      </c>
      <c r="E121" s="1">
        <v>7.5</v>
      </c>
      <c r="F121" s="16">
        <f>IF(Table1[[#This Row],[weekday]]&lt;6,2,0)</f>
        <v>2</v>
      </c>
    </row>
    <row r="122" spans="1:6" x14ac:dyDescent="0.35">
      <c r="A122" s="14">
        <f t="shared" si="2"/>
        <v>42490</v>
      </c>
      <c r="B122" s="2">
        <f>Table1[[#This Row],[date]]-day_zero</f>
        <v>120</v>
      </c>
      <c r="C122" s="16">
        <f>WEEKDAY(Table1[[#This Row],[date]],2 )</f>
        <v>6</v>
      </c>
      <c r="D122" s="1">
        <v>15</v>
      </c>
      <c r="E122" s="1">
        <v>7.5</v>
      </c>
      <c r="F122" s="16">
        <f>IF(Table1[[#This Row],[weekday]]&lt;6,2,0)</f>
        <v>0</v>
      </c>
    </row>
    <row r="123" spans="1:6" x14ac:dyDescent="0.35">
      <c r="A123" s="14">
        <f t="shared" si="2"/>
        <v>42491</v>
      </c>
      <c r="B123" s="2">
        <f>Table1[[#This Row],[date]]-day_zero</f>
        <v>121</v>
      </c>
      <c r="C123" s="16">
        <f>WEEKDAY(Table1[[#This Row],[date]],2 )</f>
        <v>7</v>
      </c>
      <c r="D123" s="1">
        <v>15</v>
      </c>
      <c r="E123" s="1">
        <v>7.5</v>
      </c>
      <c r="F123" s="16">
        <f>IF(Table1[[#This Row],[weekday]]&lt;6,2,0)</f>
        <v>0</v>
      </c>
    </row>
    <row r="124" spans="1:6" x14ac:dyDescent="0.35">
      <c r="A124" s="14">
        <f t="shared" si="2"/>
        <v>42492</v>
      </c>
      <c r="B124" s="2">
        <f>Table1[[#This Row],[date]]-day_zero</f>
        <v>122</v>
      </c>
      <c r="C124" s="16">
        <f>WEEKDAY(Table1[[#This Row],[date]],2 )</f>
        <v>1</v>
      </c>
      <c r="D124" s="1">
        <v>15</v>
      </c>
      <c r="E124" s="1">
        <v>7.5</v>
      </c>
      <c r="F124" s="16">
        <f>IF(Table1[[#This Row],[weekday]]&lt;6,2,0)</f>
        <v>2</v>
      </c>
    </row>
    <row r="125" spans="1:6" x14ac:dyDescent="0.35">
      <c r="A125" s="14">
        <f t="shared" si="2"/>
        <v>42493</v>
      </c>
      <c r="B125" s="2">
        <f>Table1[[#This Row],[date]]-day_zero</f>
        <v>123</v>
      </c>
      <c r="C125" s="16">
        <f>WEEKDAY(Table1[[#This Row],[date]],2 )</f>
        <v>2</v>
      </c>
      <c r="D125" s="1">
        <v>15</v>
      </c>
      <c r="E125" s="1">
        <v>7.5</v>
      </c>
      <c r="F125" s="16">
        <f>IF(Table1[[#This Row],[weekday]]&lt;6,2,0)</f>
        <v>2</v>
      </c>
    </row>
    <row r="126" spans="1:6" x14ac:dyDescent="0.35">
      <c r="A126" s="14">
        <f t="shared" si="2"/>
        <v>42494</v>
      </c>
      <c r="B126" s="2">
        <f>Table1[[#This Row],[date]]-day_zero</f>
        <v>124</v>
      </c>
      <c r="C126" s="16">
        <f>WEEKDAY(Table1[[#This Row],[date]],2 )</f>
        <v>3</v>
      </c>
      <c r="D126" s="1">
        <v>15</v>
      </c>
      <c r="E126" s="1">
        <v>7.5</v>
      </c>
      <c r="F126" s="16">
        <f>IF(Table1[[#This Row],[weekday]]&lt;6,2,0)</f>
        <v>2</v>
      </c>
    </row>
    <row r="127" spans="1:6" x14ac:dyDescent="0.35">
      <c r="A127" s="14">
        <f t="shared" si="2"/>
        <v>42495</v>
      </c>
      <c r="B127" s="2">
        <f>Table1[[#This Row],[date]]-day_zero</f>
        <v>125</v>
      </c>
      <c r="C127" s="16">
        <f>WEEKDAY(Table1[[#This Row],[date]],2 )</f>
        <v>4</v>
      </c>
      <c r="D127" s="1">
        <v>15</v>
      </c>
      <c r="E127" s="1">
        <v>7.5</v>
      </c>
      <c r="F127" s="16">
        <f>IF(Table1[[#This Row],[weekday]]&lt;6,2,0)</f>
        <v>2</v>
      </c>
    </row>
    <row r="128" spans="1:6" x14ac:dyDescent="0.35">
      <c r="A128" s="14">
        <f t="shared" si="2"/>
        <v>42496</v>
      </c>
      <c r="B128" s="2">
        <f>Table1[[#This Row],[date]]-day_zero</f>
        <v>126</v>
      </c>
      <c r="C128" s="16">
        <f>WEEKDAY(Table1[[#This Row],[date]],2 )</f>
        <v>5</v>
      </c>
      <c r="D128" s="1">
        <v>15</v>
      </c>
      <c r="E128" s="1">
        <v>7.5</v>
      </c>
      <c r="F128" s="16">
        <f>IF(Table1[[#This Row],[weekday]]&lt;6,2,0)</f>
        <v>2</v>
      </c>
    </row>
    <row r="129" spans="1:6" x14ac:dyDescent="0.35">
      <c r="A129" s="14">
        <f t="shared" si="2"/>
        <v>42497</v>
      </c>
      <c r="B129" s="2">
        <f>Table1[[#This Row],[date]]-day_zero</f>
        <v>127</v>
      </c>
      <c r="C129" s="16">
        <f>WEEKDAY(Table1[[#This Row],[date]],2 )</f>
        <v>6</v>
      </c>
      <c r="D129" s="1">
        <v>15</v>
      </c>
      <c r="E129" s="1">
        <v>7.5</v>
      </c>
      <c r="F129" s="16">
        <f>IF(Table1[[#This Row],[weekday]]&lt;6,2,0)</f>
        <v>0</v>
      </c>
    </row>
    <row r="130" spans="1:6" x14ac:dyDescent="0.35">
      <c r="A130" s="14">
        <f t="shared" si="2"/>
        <v>42498</v>
      </c>
      <c r="B130" s="2">
        <f>Table1[[#This Row],[date]]-day_zero</f>
        <v>128</v>
      </c>
      <c r="C130" s="16">
        <f>WEEKDAY(Table1[[#This Row],[date]],2 )</f>
        <v>7</v>
      </c>
      <c r="D130" s="1">
        <v>15</v>
      </c>
      <c r="E130" s="1">
        <v>7.5</v>
      </c>
      <c r="F130" s="16">
        <f>IF(Table1[[#This Row],[weekday]]&lt;6,2,0)</f>
        <v>0</v>
      </c>
    </row>
    <row r="131" spans="1:6" x14ac:dyDescent="0.35">
      <c r="A131" s="14">
        <f t="shared" si="2"/>
        <v>42499</v>
      </c>
      <c r="B131" s="2">
        <f>Table1[[#This Row],[date]]-day_zero</f>
        <v>129</v>
      </c>
      <c r="C131" s="16">
        <f>WEEKDAY(Table1[[#This Row],[date]],2 )</f>
        <v>1</v>
      </c>
      <c r="D131" s="1">
        <v>15</v>
      </c>
      <c r="E131" s="1">
        <v>7.5</v>
      </c>
      <c r="F131" s="16">
        <f>IF(Table1[[#This Row],[weekday]]&lt;6,2,0)</f>
        <v>2</v>
      </c>
    </row>
    <row r="132" spans="1:6" x14ac:dyDescent="0.35">
      <c r="A132" s="14">
        <f t="shared" si="2"/>
        <v>42500</v>
      </c>
      <c r="B132" s="2">
        <f>Table1[[#This Row],[date]]-day_zero</f>
        <v>130</v>
      </c>
      <c r="C132" s="16">
        <f>WEEKDAY(Table1[[#This Row],[date]],2 )</f>
        <v>2</v>
      </c>
      <c r="D132" s="1">
        <v>15</v>
      </c>
      <c r="E132" s="1">
        <v>7.5</v>
      </c>
      <c r="F132" s="16">
        <f>IF(Table1[[#This Row],[weekday]]&lt;6,2,0)</f>
        <v>2</v>
      </c>
    </row>
    <row r="133" spans="1:6" x14ac:dyDescent="0.35">
      <c r="A133" s="14">
        <f t="shared" si="2"/>
        <v>42501</v>
      </c>
      <c r="B133" s="2">
        <f>Table1[[#This Row],[date]]-day_zero</f>
        <v>131</v>
      </c>
      <c r="C133" s="16">
        <f>WEEKDAY(Table1[[#This Row],[date]],2 )</f>
        <v>3</v>
      </c>
      <c r="D133" s="1">
        <v>15</v>
      </c>
      <c r="E133" s="1">
        <v>7.5</v>
      </c>
      <c r="F133" s="16">
        <f>IF(Table1[[#This Row],[weekday]]&lt;6,2,0)</f>
        <v>2</v>
      </c>
    </row>
    <row r="134" spans="1:6" x14ac:dyDescent="0.35">
      <c r="A134" s="14">
        <f t="shared" si="2"/>
        <v>42502</v>
      </c>
      <c r="B134" s="2">
        <f>Table1[[#This Row],[date]]-day_zero</f>
        <v>132</v>
      </c>
      <c r="C134" s="16">
        <f>WEEKDAY(Table1[[#This Row],[date]],2 )</f>
        <v>4</v>
      </c>
      <c r="D134" s="1">
        <v>15</v>
      </c>
      <c r="E134" s="1">
        <v>7.5</v>
      </c>
      <c r="F134" s="16">
        <f>IF(Table1[[#This Row],[weekday]]&lt;6,2,0)</f>
        <v>2</v>
      </c>
    </row>
    <row r="135" spans="1:6" x14ac:dyDescent="0.35">
      <c r="A135" s="14">
        <f t="shared" si="2"/>
        <v>42503</v>
      </c>
      <c r="B135" s="2">
        <f>Table1[[#This Row],[date]]-day_zero</f>
        <v>133</v>
      </c>
      <c r="C135" s="16">
        <f>WEEKDAY(Table1[[#This Row],[date]],2 )</f>
        <v>5</v>
      </c>
      <c r="D135" s="1">
        <v>15</v>
      </c>
      <c r="E135" s="1">
        <v>7.5</v>
      </c>
      <c r="F135" s="16">
        <f>IF(Table1[[#This Row],[weekday]]&lt;6,2,0)</f>
        <v>2</v>
      </c>
    </row>
    <row r="136" spans="1:6" x14ac:dyDescent="0.35">
      <c r="A136" s="14">
        <f t="shared" si="2"/>
        <v>42504</v>
      </c>
      <c r="B136" s="2">
        <f>Table1[[#This Row],[date]]-day_zero</f>
        <v>134</v>
      </c>
      <c r="C136" s="16">
        <f>WEEKDAY(Table1[[#This Row],[date]],2 )</f>
        <v>6</v>
      </c>
      <c r="D136" s="1">
        <v>15</v>
      </c>
      <c r="E136" s="1">
        <v>7.5</v>
      </c>
      <c r="F136" s="16">
        <f>IF(Table1[[#This Row],[weekday]]&lt;6,2,0)</f>
        <v>0</v>
      </c>
    </row>
    <row r="137" spans="1:6" x14ac:dyDescent="0.35">
      <c r="A137" s="14">
        <f t="shared" si="2"/>
        <v>42505</v>
      </c>
      <c r="B137" s="2">
        <f>Table1[[#This Row],[date]]-day_zero</f>
        <v>135</v>
      </c>
      <c r="C137" s="16">
        <f>WEEKDAY(Table1[[#This Row],[date]],2 )</f>
        <v>7</v>
      </c>
      <c r="D137" s="1">
        <v>15</v>
      </c>
      <c r="E137" s="1">
        <v>7.5</v>
      </c>
      <c r="F137" s="16">
        <f>IF(Table1[[#This Row],[weekday]]&lt;6,2,0)</f>
        <v>0</v>
      </c>
    </row>
    <row r="138" spans="1:6" x14ac:dyDescent="0.35">
      <c r="A138" s="14">
        <f t="shared" si="2"/>
        <v>42506</v>
      </c>
      <c r="B138" s="2">
        <f>Table1[[#This Row],[date]]-day_zero</f>
        <v>136</v>
      </c>
      <c r="C138" s="16">
        <f>WEEKDAY(Table1[[#This Row],[date]],2 )</f>
        <v>1</v>
      </c>
      <c r="D138" s="1">
        <v>15</v>
      </c>
      <c r="E138" s="1">
        <v>7.5</v>
      </c>
      <c r="F138" s="16">
        <f>IF(Table1[[#This Row],[weekday]]&lt;6,2,0)</f>
        <v>2</v>
      </c>
    </row>
    <row r="139" spans="1:6" x14ac:dyDescent="0.35">
      <c r="A139" s="14">
        <f t="shared" si="2"/>
        <v>42507</v>
      </c>
      <c r="B139" s="2">
        <f>Table1[[#This Row],[date]]-day_zero</f>
        <v>137</v>
      </c>
      <c r="C139" s="16">
        <f>WEEKDAY(Table1[[#This Row],[date]],2 )</f>
        <v>2</v>
      </c>
      <c r="D139" s="1">
        <v>15</v>
      </c>
      <c r="E139" s="1">
        <v>7.5</v>
      </c>
      <c r="F139" s="16">
        <f>IF(Table1[[#This Row],[weekday]]&lt;6,2,0)</f>
        <v>2</v>
      </c>
    </row>
    <row r="140" spans="1:6" x14ac:dyDescent="0.35">
      <c r="A140" s="14">
        <f t="shared" ref="A140:A203" si="3">A139+1</f>
        <v>42508</v>
      </c>
      <c r="B140" s="2">
        <f>Table1[[#This Row],[date]]-day_zero</f>
        <v>138</v>
      </c>
      <c r="C140" s="16">
        <f>WEEKDAY(Table1[[#This Row],[date]],2 )</f>
        <v>3</v>
      </c>
      <c r="D140" s="1">
        <v>15</v>
      </c>
      <c r="E140" s="1">
        <v>7.5</v>
      </c>
      <c r="F140" s="16">
        <f>IF(Table1[[#This Row],[weekday]]&lt;6,2,0)</f>
        <v>2</v>
      </c>
    </row>
    <row r="141" spans="1:6" x14ac:dyDescent="0.35">
      <c r="A141" s="14">
        <f t="shared" si="3"/>
        <v>42509</v>
      </c>
      <c r="B141" s="2">
        <f>Table1[[#This Row],[date]]-day_zero</f>
        <v>139</v>
      </c>
      <c r="C141" s="16">
        <f>WEEKDAY(Table1[[#This Row],[date]],2 )</f>
        <v>4</v>
      </c>
      <c r="D141" s="1">
        <v>15</v>
      </c>
      <c r="E141" s="1">
        <v>7.5</v>
      </c>
      <c r="F141" s="16">
        <f>IF(Table1[[#This Row],[weekday]]&lt;6,2,0)</f>
        <v>2</v>
      </c>
    </row>
    <row r="142" spans="1:6" x14ac:dyDescent="0.35">
      <c r="A142" s="14">
        <f t="shared" si="3"/>
        <v>42510</v>
      </c>
      <c r="B142" s="2">
        <f>Table1[[#This Row],[date]]-day_zero</f>
        <v>140</v>
      </c>
      <c r="C142" s="16">
        <f>WEEKDAY(Table1[[#This Row],[date]],2 )</f>
        <v>5</v>
      </c>
      <c r="D142" s="1">
        <v>15</v>
      </c>
      <c r="E142" s="1">
        <v>7.5</v>
      </c>
      <c r="F142" s="16">
        <f>IF(Table1[[#This Row],[weekday]]&lt;6,2,0)</f>
        <v>2</v>
      </c>
    </row>
    <row r="143" spans="1:6" x14ac:dyDescent="0.35">
      <c r="A143" s="14">
        <f t="shared" si="3"/>
        <v>42511</v>
      </c>
      <c r="B143" s="2">
        <f>Table1[[#This Row],[date]]-day_zero</f>
        <v>141</v>
      </c>
      <c r="C143" s="16">
        <f>WEEKDAY(Table1[[#This Row],[date]],2 )</f>
        <v>6</v>
      </c>
      <c r="D143" s="1">
        <v>15</v>
      </c>
      <c r="E143" s="1">
        <v>7.5</v>
      </c>
      <c r="F143" s="16">
        <f>IF(Table1[[#This Row],[weekday]]&lt;6,2,0)</f>
        <v>0</v>
      </c>
    </row>
    <row r="144" spans="1:6" x14ac:dyDescent="0.35">
      <c r="A144" s="14">
        <f t="shared" si="3"/>
        <v>42512</v>
      </c>
      <c r="B144" s="2">
        <f>Table1[[#This Row],[date]]-day_zero</f>
        <v>142</v>
      </c>
      <c r="C144" s="16">
        <f>WEEKDAY(Table1[[#This Row],[date]],2 )</f>
        <v>7</v>
      </c>
      <c r="D144" s="1">
        <v>15</v>
      </c>
      <c r="E144" s="1">
        <v>7.5</v>
      </c>
      <c r="F144" s="16">
        <f>IF(Table1[[#This Row],[weekday]]&lt;6,2,0)</f>
        <v>0</v>
      </c>
    </row>
    <row r="145" spans="1:6" x14ac:dyDescent="0.35">
      <c r="A145" s="14">
        <f t="shared" si="3"/>
        <v>42513</v>
      </c>
      <c r="B145" s="2">
        <f>Table1[[#This Row],[date]]-day_zero</f>
        <v>143</v>
      </c>
      <c r="C145" s="16">
        <f>WEEKDAY(Table1[[#This Row],[date]],2 )</f>
        <v>1</v>
      </c>
      <c r="D145" s="1">
        <v>15</v>
      </c>
      <c r="E145" s="1">
        <v>7.5</v>
      </c>
      <c r="F145" s="16">
        <f>IF(Table1[[#This Row],[weekday]]&lt;6,2,0)</f>
        <v>2</v>
      </c>
    </row>
    <row r="146" spans="1:6" x14ac:dyDescent="0.35">
      <c r="A146" s="14">
        <f t="shared" si="3"/>
        <v>42514</v>
      </c>
      <c r="B146" s="2">
        <f>Table1[[#This Row],[date]]-day_zero</f>
        <v>144</v>
      </c>
      <c r="C146" s="16">
        <f>WEEKDAY(Table1[[#This Row],[date]],2 )</f>
        <v>2</v>
      </c>
      <c r="D146" s="1">
        <v>15</v>
      </c>
      <c r="E146" s="1">
        <v>7.5</v>
      </c>
      <c r="F146" s="16">
        <f>IF(Table1[[#This Row],[weekday]]&lt;6,2,0)</f>
        <v>2</v>
      </c>
    </row>
    <row r="147" spans="1:6" x14ac:dyDescent="0.35">
      <c r="A147" s="14">
        <f t="shared" si="3"/>
        <v>42515</v>
      </c>
      <c r="B147" s="2">
        <f>Table1[[#This Row],[date]]-day_zero</f>
        <v>145</v>
      </c>
      <c r="C147" s="16">
        <f>WEEKDAY(Table1[[#This Row],[date]],2 )</f>
        <v>3</v>
      </c>
      <c r="D147" s="1">
        <v>15</v>
      </c>
      <c r="E147" s="1">
        <v>7.5</v>
      </c>
      <c r="F147" s="16">
        <f>IF(Table1[[#This Row],[weekday]]&lt;6,2,0)</f>
        <v>2</v>
      </c>
    </row>
    <row r="148" spans="1:6" x14ac:dyDescent="0.35">
      <c r="A148" s="14">
        <f t="shared" si="3"/>
        <v>42516</v>
      </c>
      <c r="B148" s="2">
        <f>Table1[[#This Row],[date]]-day_zero</f>
        <v>146</v>
      </c>
      <c r="C148" s="16">
        <f>WEEKDAY(Table1[[#This Row],[date]],2 )</f>
        <v>4</v>
      </c>
      <c r="D148" s="1">
        <v>15</v>
      </c>
      <c r="E148" s="1">
        <v>7.5</v>
      </c>
      <c r="F148" s="16">
        <f>IF(Table1[[#This Row],[weekday]]&lt;6,2,0)</f>
        <v>2</v>
      </c>
    </row>
    <row r="149" spans="1:6" x14ac:dyDescent="0.35">
      <c r="A149" s="14">
        <f t="shared" si="3"/>
        <v>42517</v>
      </c>
      <c r="B149" s="2">
        <f>Table1[[#This Row],[date]]-day_zero</f>
        <v>147</v>
      </c>
      <c r="C149" s="16">
        <f>WEEKDAY(Table1[[#This Row],[date]],2 )</f>
        <v>5</v>
      </c>
      <c r="D149" s="1">
        <v>15</v>
      </c>
      <c r="E149" s="1">
        <v>7.5</v>
      </c>
      <c r="F149" s="16">
        <f>IF(Table1[[#This Row],[weekday]]&lt;6,2,0)</f>
        <v>2</v>
      </c>
    </row>
    <row r="150" spans="1:6" x14ac:dyDescent="0.35">
      <c r="A150" s="14">
        <f t="shared" si="3"/>
        <v>42518</v>
      </c>
      <c r="B150" s="2">
        <f>Table1[[#This Row],[date]]-day_zero</f>
        <v>148</v>
      </c>
      <c r="C150" s="16">
        <f>WEEKDAY(Table1[[#This Row],[date]],2 )</f>
        <v>6</v>
      </c>
      <c r="D150" s="1">
        <v>15</v>
      </c>
      <c r="E150" s="1">
        <v>7.5</v>
      </c>
      <c r="F150" s="16">
        <f>IF(Table1[[#This Row],[weekday]]&lt;6,2,0)</f>
        <v>0</v>
      </c>
    </row>
    <row r="151" spans="1:6" x14ac:dyDescent="0.35">
      <c r="A151" s="14">
        <f t="shared" si="3"/>
        <v>42519</v>
      </c>
      <c r="B151" s="2">
        <f>Table1[[#This Row],[date]]-day_zero</f>
        <v>149</v>
      </c>
      <c r="C151" s="16">
        <f>WEEKDAY(Table1[[#This Row],[date]],2 )</f>
        <v>7</v>
      </c>
      <c r="D151" s="1">
        <v>15</v>
      </c>
      <c r="E151" s="1">
        <v>7.5</v>
      </c>
      <c r="F151" s="16">
        <f>IF(Table1[[#This Row],[weekday]]&lt;6,2,0)</f>
        <v>0</v>
      </c>
    </row>
    <row r="152" spans="1:6" x14ac:dyDescent="0.35">
      <c r="A152" s="14">
        <f t="shared" si="3"/>
        <v>42520</v>
      </c>
      <c r="B152" s="2">
        <f>Table1[[#This Row],[date]]-day_zero</f>
        <v>150</v>
      </c>
      <c r="C152" s="16">
        <f>WEEKDAY(Table1[[#This Row],[date]],2 )</f>
        <v>1</v>
      </c>
      <c r="D152" s="1">
        <v>15</v>
      </c>
      <c r="E152" s="1">
        <v>7.5</v>
      </c>
      <c r="F152" s="16">
        <f>IF(Table1[[#This Row],[weekday]]&lt;6,2,0)</f>
        <v>2</v>
      </c>
    </row>
    <row r="153" spans="1:6" x14ac:dyDescent="0.35">
      <c r="A153" s="14">
        <f t="shared" si="3"/>
        <v>42521</v>
      </c>
      <c r="B153" s="2">
        <f>Table1[[#This Row],[date]]-day_zero</f>
        <v>151</v>
      </c>
      <c r="C153" s="16">
        <f>WEEKDAY(Table1[[#This Row],[date]],2 )</f>
        <v>2</v>
      </c>
      <c r="D153" s="1">
        <v>15</v>
      </c>
      <c r="E153" s="1">
        <v>7.5</v>
      </c>
      <c r="F153" s="16">
        <f>IF(Table1[[#This Row],[weekday]]&lt;6,2,0)</f>
        <v>2</v>
      </c>
    </row>
    <row r="154" spans="1:6" x14ac:dyDescent="0.35">
      <c r="A154" s="14">
        <f t="shared" si="3"/>
        <v>42522</v>
      </c>
      <c r="B154" s="2">
        <f>Table1[[#This Row],[date]]-day_zero</f>
        <v>152</v>
      </c>
      <c r="C154" s="16">
        <f>WEEKDAY(Table1[[#This Row],[date]],2 )</f>
        <v>3</v>
      </c>
      <c r="D154" s="1">
        <v>15</v>
      </c>
      <c r="E154" s="1">
        <v>7.5</v>
      </c>
      <c r="F154" s="16">
        <f>IF(Table1[[#This Row],[weekday]]&lt;6,2,0)</f>
        <v>2</v>
      </c>
    </row>
    <row r="155" spans="1:6" x14ac:dyDescent="0.35">
      <c r="A155" s="14">
        <f t="shared" si="3"/>
        <v>42523</v>
      </c>
      <c r="B155" s="2">
        <f>Table1[[#This Row],[date]]-day_zero</f>
        <v>153</v>
      </c>
      <c r="C155" s="16">
        <f>WEEKDAY(Table1[[#This Row],[date]],2 )</f>
        <v>4</v>
      </c>
      <c r="D155" s="1">
        <v>15</v>
      </c>
      <c r="E155" s="1">
        <v>7.5</v>
      </c>
      <c r="F155" s="16">
        <f>IF(Table1[[#This Row],[weekday]]&lt;6,2,0)</f>
        <v>2</v>
      </c>
    </row>
    <row r="156" spans="1:6" x14ac:dyDescent="0.35">
      <c r="A156" s="14">
        <f t="shared" si="3"/>
        <v>42524</v>
      </c>
      <c r="B156" s="2">
        <f>Table1[[#This Row],[date]]-day_zero</f>
        <v>154</v>
      </c>
      <c r="C156" s="16">
        <f>WEEKDAY(Table1[[#This Row],[date]],2 )</f>
        <v>5</v>
      </c>
      <c r="D156" s="1">
        <v>15</v>
      </c>
      <c r="E156" s="1">
        <v>7.5</v>
      </c>
      <c r="F156" s="16">
        <f>IF(Table1[[#This Row],[weekday]]&lt;6,2,0)</f>
        <v>2</v>
      </c>
    </row>
    <row r="157" spans="1:6" x14ac:dyDescent="0.35">
      <c r="A157" s="14">
        <f t="shared" si="3"/>
        <v>42525</v>
      </c>
      <c r="B157" s="2">
        <f>Table1[[#This Row],[date]]-day_zero</f>
        <v>155</v>
      </c>
      <c r="C157" s="16">
        <f>WEEKDAY(Table1[[#This Row],[date]],2 )</f>
        <v>6</v>
      </c>
      <c r="D157" s="1">
        <v>15</v>
      </c>
      <c r="E157" s="1">
        <v>7.5</v>
      </c>
      <c r="F157" s="16">
        <f>IF(Table1[[#This Row],[weekday]]&lt;6,2,0)</f>
        <v>0</v>
      </c>
    </row>
    <row r="158" spans="1:6" x14ac:dyDescent="0.35">
      <c r="A158" s="14">
        <f t="shared" si="3"/>
        <v>42526</v>
      </c>
      <c r="B158" s="2">
        <f>Table1[[#This Row],[date]]-day_zero</f>
        <v>156</v>
      </c>
      <c r="C158" s="16">
        <f>WEEKDAY(Table1[[#This Row],[date]],2 )</f>
        <v>7</v>
      </c>
      <c r="D158" s="1">
        <v>15</v>
      </c>
      <c r="E158" s="1">
        <v>7.5</v>
      </c>
      <c r="F158" s="16">
        <f>IF(Table1[[#This Row],[weekday]]&lt;6,2,0)</f>
        <v>0</v>
      </c>
    </row>
    <row r="159" spans="1:6" x14ac:dyDescent="0.35">
      <c r="A159" s="14">
        <f t="shared" si="3"/>
        <v>42527</v>
      </c>
      <c r="B159" s="2">
        <f>Table1[[#This Row],[date]]-day_zero</f>
        <v>157</v>
      </c>
      <c r="C159" s="16">
        <f>WEEKDAY(Table1[[#This Row],[date]],2 )</f>
        <v>1</v>
      </c>
      <c r="D159" s="1">
        <v>15</v>
      </c>
      <c r="E159" s="1">
        <v>7.5</v>
      </c>
      <c r="F159" s="16">
        <f>IF(Table1[[#This Row],[weekday]]&lt;6,2,0)</f>
        <v>2</v>
      </c>
    </row>
    <row r="160" spans="1:6" x14ac:dyDescent="0.35">
      <c r="A160" s="14">
        <f t="shared" si="3"/>
        <v>42528</v>
      </c>
      <c r="B160" s="2">
        <f>Table1[[#This Row],[date]]-day_zero</f>
        <v>158</v>
      </c>
      <c r="C160" s="16">
        <f>WEEKDAY(Table1[[#This Row],[date]],2 )</f>
        <v>2</v>
      </c>
      <c r="D160" s="1">
        <v>15</v>
      </c>
      <c r="E160" s="1">
        <v>7.5</v>
      </c>
      <c r="F160" s="16">
        <f>IF(Table1[[#This Row],[weekday]]&lt;6,2,0)</f>
        <v>2</v>
      </c>
    </row>
    <row r="161" spans="1:6" x14ac:dyDescent="0.35">
      <c r="A161" s="14">
        <f t="shared" si="3"/>
        <v>42529</v>
      </c>
      <c r="B161" s="2">
        <f>Table1[[#This Row],[date]]-day_zero</f>
        <v>159</v>
      </c>
      <c r="C161" s="16">
        <f>WEEKDAY(Table1[[#This Row],[date]],2 )</f>
        <v>3</v>
      </c>
      <c r="D161" s="1">
        <v>15</v>
      </c>
      <c r="E161" s="1">
        <v>7.5</v>
      </c>
      <c r="F161" s="16">
        <f>IF(Table1[[#This Row],[weekday]]&lt;6,2,0)</f>
        <v>2</v>
      </c>
    </row>
    <row r="162" spans="1:6" x14ac:dyDescent="0.35">
      <c r="A162" s="14">
        <f t="shared" si="3"/>
        <v>42530</v>
      </c>
      <c r="B162" s="2">
        <f>Table1[[#This Row],[date]]-day_zero</f>
        <v>160</v>
      </c>
      <c r="C162" s="16">
        <f>WEEKDAY(Table1[[#This Row],[date]],2 )</f>
        <v>4</v>
      </c>
      <c r="D162" s="1">
        <v>15</v>
      </c>
      <c r="E162" s="1">
        <v>7.5</v>
      </c>
      <c r="F162" s="16">
        <f>IF(Table1[[#This Row],[weekday]]&lt;6,2,0)</f>
        <v>2</v>
      </c>
    </row>
    <row r="163" spans="1:6" x14ac:dyDescent="0.35">
      <c r="A163" s="14">
        <f t="shared" si="3"/>
        <v>42531</v>
      </c>
      <c r="B163" s="2">
        <f>Table1[[#This Row],[date]]-day_zero</f>
        <v>161</v>
      </c>
      <c r="C163" s="16">
        <f>WEEKDAY(Table1[[#This Row],[date]],2 )</f>
        <v>5</v>
      </c>
      <c r="D163" s="1">
        <v>15</v>
      </c>
      <c r="E163" s="1">
        <v>7.5</v>
      </c>
      <c r="F163" s="16">
        <f>IF(Table1[[#This Row],[weekday]]&lt;6,2,0)</f>
        <v>2</v>
      </c>
    </row>
    <row r="164" spans="1:6" x14ac:dyDescent="0.35">
      <c r="A164" s="14">
        <f t="shared" si="3"/>
        <v>42532</v>
      </c>
      <c r="B164" s="2">
        <f>Table1[[#This Row],[date]]-day_zero</f>
        <v>162</v>
      </c>
      <c r="C164" s="16">
        <f>WEEKDAY(Table1[[#This Row],[date]],2 )</f>
        <v>6</v>
      </c>
      <c r="D164" s="1">
        <v>15</v>
      </c>
      <c r="E164" s="1">
        <v>7.5</v>
      </c>
      <c r="F164" s="16">
        <f>IF(Table1[[#This Row],[weekday]]&lt;6,2,0)</f>
        <v>0</v>
      </c>
    </row>
    <row r="165" spans="1:6" x14ac:dyDescent="0.35">
      <c r="A165" s="14">
        <f t="shared" si="3"/>
        <v>42533</v>
      </c>
      <c r="B165" s="2">
        <f>Table1[[#This Row],[date]]-day_zero</f>
        <v>163</v>
      </c>
      <c r="C165" s="16">
        <f>WEEKDAY(Table1[[#This Row],[date]],2 )</f>
        <v>7</v>
      </c>
      <c r="D165" s="1">
        <v>15</v>
      </c>
      <c r="E165" s="1">
        <v>7.5</v>
      </c>
      <c r="F165" s="16">
        <f>IF(Table1[[#This Row],[weekday]]&lt;6,2,0)</f>
        <v>0</v>
      </c>
    </row>
    <row r="166" spans="1:6" x14ac:dyDescent="0.35">
      <c r="A166" s="14">
        <f t="shared" si="3"/>
        <v>42534</v>
      </c>
      <c r="B166" s="2">
        <f>Table1[[#This Row],[date]]-day_zero</f>
        <v>164</v>
      </c>
      <c r="C166" s="16">
        <f>WEEKDAY(Table1[[#This Row],[date]],2 )</f>
        <v>1</v>
      </c>
      <c r="D166" s="1">
        <v>15</v>
      </c>
      <c r="E166" s="1">
        <v>7.5</v>
      </c>
      <c r="F166" s="16">
        <f>IF(Table1[[#This Row],[weekday]]&lt;6,2,0)</f>
        <v>2</v>
      </c>
    </row>
    <row r="167" spans="1:6" x14ac:dyDescent="0.35">
      <c r="A167" s="14">
        <f t="shared" si="3"/>
        <v>42535</v>
      </c>
      <c r="B167" s="2">
        <f>Table1[[#This Row],[date]]-day_zero</f>
        <v>165</v>
      </c>
      <c r="C167" s="16">
        <f>WEEKDAY(Table1[[#This Row],[date]],2 )</f>
        <v>2</v>
      </c>
      <c r="D167" s="1">
        <v>15</v>
      </c>
      <c r="E167" s="1">
        <v>7.5</v>
      </c>
      <c r="F167" s="16">
        <f>IF(Table1[[#This Row],[weekday]]&lt;6,2,0)</f>
        <v>2</v>
      </c>
    </row>
    <row r="168" spans="1:6" x14ac:dyDescent="0.35">
      <c r="A168" s="14">
        <f t="shared" si="3"/>
        <v>42536</v>
      </c>
      <c r="B168" s="2">
        <f>Table1[[#This Row],[date]]-day_zero</f>
        <v>166</v>
      </c>
      <c r="C168" s="16">
        <f>WEEKDAY(Table1[[#This Row],[date]],2 )</f>
        <v>3</v>
      </c>
      <c r="D168" s="1">
        <v>15</v>
      </c>
      <c r="E168" s="1">
        <v>7.5</v>
      </c>
      <c r="F168" s="16">
        <f>IF(Table1[[#This Row],[weekday]]&lt;6,2,0)</f>
        <v>2</v>
      </c>
    </row>
    <row r="169" spans="1:6" x14ac:dyDescent="0.35">
      <c r="A169" s="14">
        <f t="shared" si="3"/>
        <v>42537</v>
      </c>
      <c r="B169" s="2">
        <f>Table1[[#This Row],[date]]-day_zero</f>
        <v>167</v>
      </c>
      <c r="C169" s="16">
        <f>WEEKDAY(Table1[[#This Row],[date]],2 )</f>
        <v>4</v>
      </c>
      <c r="D169" s="1">
        <v>15</v>
      </c>
      <c r="E169" s="1">
        <v>7.5</v>
      </c>
      <c r="F169" s="16">
        <f>IF(Table1[[#This Row],[weekday]]&lt;6,2,0)</f>
        <v>2</v>
      </c>
    </row>
    <row r="170" spans="1:6" x14ac:dyDescent="0.35">
      <c r="A170" s="14">
        <f t="shared" si="3"/>
        <v>42538</v>
      </c>
      <c r="B170" s="2">
        <f>Table1[[#This Row],[date]]-day_zero</f>
        <v>168</v>
      </c>
      <c r="C170" s="16">
        <f>WEEKDAY(Table1[[#This Row],[date]],2 )</f>
        <v>5</v>
      </c>
      <c r="D170" s="1">
        <v>15</v>
      </c>
      <c r="E170" s="1">
        <v>7.5</v>
      </c>
      <c r="F170" s="16">
        <f>IF(Table1[[#This Row],[weekday]]&lt;6,2,0)</f>
        <v>2</v>
      </c>
    </row>
    <row r="171" spans="1:6" x14ac:dyDescent="0.35">
      <c r="A171" s="14">
        <f t="shared" si="3"/>
        <v>42539</v>
      </c>
      <c r="B171" s="2">
        <f>Table1[[#This Row],[date]]-day_zero</f>
        <v>169</v>
      </c>
      <c r="C171" s="16">
        <f>WEEKDAY(Table1[[#This Row],[date]],2 )</f>
        <v>6</v>
      </c>
      <c r="D171" s="1">
        <v>15</v>
      </c>
      <c r="E171" s="1">
        <v>7.5</v>
      </c>
      <c r="F171" s="16">
        <f>IF(Table1[[#This Row],[weekday]]&lt;6,2,0)</f>
        <v>0</v>
      </c>
    </row>
    <row r="172" spans="1:6" x14ac:dyDescent="0.35">
      <c r="A172" s="14">
        <f t="shared" si="3"/>
        <v>42540</v>
      </c>
      <c r="B172" s="2">
        <f>Table1[[#This Row],[date]]-day_zero</f>
        <v>170</v>
      </c>
      <c r="C172" s="16">
        <f>WEEKDAY(Table1[[#This Row],[date]],2 )</f>
        <v>7</v>
      </c>
      <c r="D172" s="1">
        <v>15</v>
      </c>
      <c r="E172" s="1">
        <v>7.5</v>
      </c>
      <c r="F172" s="16">
        <f>IF(Table1[[#This Row],[weekday]]&lt;6,2,0)</f>
        <v>0</v>
      </c>
    </row>
    <row r="173" spans="1:6" x14ac:dyDescent="0.35">
      <c r="A173" s="14">
        <f t="shared" si="3"/>
        <v>42541</v>
      </c>
      <c r="B173" s="2">
        <f>Table1[[#This Row],[date]]-day_zero</f>
        <v>171</v>
      </c>
      <c r="C173" s="16">
        <f>WEEKDAY(Table1[[#This Row],[date]],2 )</f>
        <v>1</v>
      </c>
      <c r="D173" s="1">
        <v>15</v>
      </c>
      <c r="E173" s="1">
        <v>7.5</v>
      </c>
      <c r="F173" s="16">
        <f>IF(Table1[[#This Row],[weekday]]&lt;6,2,0)</f>
        <v>2</v>
      </c>
    </row>
    <row r="174" spans="1:6" x14ac:dyDescent="0.35">
      <c r="A174" s="14">
        <f t="shared" si="3"/>
        <v>42542</v>
      </c>
      <c r="B174" s="2">
        <f>Table1[[#This Row],[date]]-day_zero</f>
        <v>172</v>
      </c>
      <c r="C174" s="16">
        <f>WEEKDAY(Table1[[#This Row],[date]],2 )</f>
        <v>2</v>
      </c>
      <c r="D174" s="1">
        <v>15</v>
      </c>
      <c r="E174" s="1">
        <v>7.5</v>
      </c>
      <c r="F174" s="16">
        <f>IF(Table1[[#This Row],[weekday]]&lt;6,2,0)</f>
        <v>2</v>
      </c>
    </row>
    <row r="175" spans="1:6" x14ac:dyDescent="0.35">
      <c r="A175" s="14">
        <f t="shared" si="3"/>
        <v>42543</v>
      </c>
      <c r="B175" s="2">
        <f>Table1[[#This Row],[date]]-day_zero</f>
        <v>173</v>
      </c>
      <c r="C175" s="16">
        <f>WEEKDAY(Table1[[#This Row],[date]],2 )</f>
        <v>3</v>
      </c>
      <c r="D175" s="1">
        <v>15</v>
      </c>
      <c r="E175" s="1">
        <v>7.5</v>
      </c>
      <c r="F175" s="16">
        <f>IF(Table1[[#This Row],[weekday]]&lt;6,2,0)</f>
        <v>2</v>
      </c>
    </row>
    <row r="176" spans="1:6" x14ac:dyDescent="0.35">
      <c r="A176" s="14">
        <f t="shared" si="3"/>
        <v>42544</v>
      </c>
      <c r="B176" s="2">
        <f>Table1[[#This Row],[date]]-day_zero</f>
        <v>174</v>
      </c>
      <c r="C176" s="16">
        <f>WEEKDAY(Table1[[#This Row],[date]],2 )</f>
        <v>4</v>
      </c>
      <c r="D176" s="1">
        <v>15</v>
      </c>
      <c r="E176" s="1">
        <v>7.5</v>
      </c>
      <c r="F176" s="16">
        <f>IF(Table1[[#This Row],[weekday]]&lt;6,2,0)</f>
        <v>2</v>
      </c>
    </row>
    <row r="177" spans="1:6" x14ac:dyDescent="0.35">
      <c r="A177" s="14">
        <f t="shared" si="3"/>
        <v>42545</v>
      </c>
      <c r="B177" s="2">
        <f>Table1[[#This Row],[date]]-day_zero</f>
        <v>175</v>
      </c>
      <c r="C177" s="16">
        <f>WEEKDAY(Table1[[#This Row],[date]],2 )</f>
        <v>5</v>
      </c>
      <c r="D177" s="1">
        <v>15</v>
      </c>
      <c r="E177" s="1">
        <v>7.5</v>
      </c>
      <c r="F177" s="16">
        <f>IF(Table1[[#This Row],[weekday]]&lt;6,2,0)</f>
        <v>2</v>
      </c>
    </row>
    <row r="178" spans="1:6" x14ac:dyDescent="0.35">
      <c r="A178" s="14">
        <f t="shared" si="3"/>
        <v>42546</v>
      </c>
      <c r="B178" s="2">
        <f>Table1[[#This Row],[date]]-day_zero</f>
        <v>176</v>
      </c>
      <c r="C178" s="16">
        <f>WEEKDAY(Table1[[#This Row],[date]],2 )</f>
        <v>6</v>
      </c>
      <c r="D178" s="1">
        <v>15</v>
      </c>
      <c r="E178" s="1">
        <v>7.5</v>
      </c>
      <c r="F178" s="16">
        <f>IF(Table1[[#This Row],[weekday]]&lt;6,2,0)</f>
        <v>0</v>
      </c>
    </row>
    <row r="179" spans="1:6" x14ac:dyDescent="0.35">
      <c r="A179" s="14">
        <f t="shared" si="3"/>
        <v>42547</v>
      </c>
      <c r="B179" s="2">
        <f>Table1[[#This Row],[date]]-day_zero</f>
        <v>177</v>
      </c>
      <c r="C179" s="16">
        <f>WEEKDAY(Table1[[#This Row],[date]],2 )</f>
        <v>7</v>
      </c>
      <c r="D179" s="1">
        <v>15</v>
      </c>
      <c r="E179" s="1">
        <v>7.5</v>
      </c>
      <c r="F179" s="16">
        <f>IF(Table1[[#This Row],[weekday]]&lt;6,2,0)</f>
        <v>0</v>
      </c>
    </row>
    <row r="180" spans="1:6" x14ac:dyDescent="0.35">
      <c r="A180" s="14">
        <f t="shared" si="3"/>
        <v>42548</v>
      </c>
      <c r="B180" s="2">
        <f>Table1[[#This Row],[date]]-day_zero</f>
        <v>178</v>
      </c>
      <c r="C180" s="16">
        <f>WEEKDAY(Table1[[#This Row],[date]],2 )</f>
        <v>1</v>
      </c>
      <c r="D180" s="1">
        <v>15</v>
      </c>
      <c r="E180" s="1">
        <v>7.5</v>
      </c>
      <c r="F180" s="16">
        <f>IF(Table1[[#This Row],[weekday]]&lt;6,2,0)</f>
        <v>2</v>
      </c>
    </row>
    <row r="181" spans="1:6" x14ac:dyDescent="0.35">
      <c r="A181" s="14">
        <f t="shared" si="3"/>
        <v>42549</v>
      </c>
      <c r="B181" s="2">
        <f>Table1[[#This Row],[date]]-day_zero</f>
        <v>179</v>
      </c>
      <c r="C181" s="16">
        <f>WEEKDAY(Table1[[#This Row],[date]],2 )</f>
        <v>2</v>
      </c>
      <c r="D181" s="1">
        <v>15</v>
      </c>
      <c r="E181" s="1">
        <v>7.5</v>
      </c>
      <c r="F181" s="16">
        <f>IF(Table1[[#This Row],[weekday]]&lt;6,2,0)</f>
        <v>2</v>
      </c>
    </row>
    <row r="182" spans="1:6" x14ac:dyDescent="0.35">
      <c r="A182" s="14">
        <f t="shared" si="3"/>
        <v>42550</v>
      </c>
      <c r="B182" s="2">
        <f>Table1[[#This Row],[date]]-day_zero</f>
        <v>180</v>
      </c>
      <c r="C182" s="16">
        <f>WEEKDAY(Table1[[#This Row],[date]],2 )</f>
        <v>3</v>
      </c>
      <c r="D182" s="1">
        <v>15</v>
      </c>
      <c r="E182" s="1">
        <v>7.5</v>
      </c>
      <c r="F182" s="16">
        <f>IF(Table1[[#This Row],[weekday]]&lt;6,2,0)</f>
        <v>2</v>
      </c>
    </row>
    <row r="183" spans="1:6" x14ac:dyDescent="0.35">
      <c r="A183" s="14">
        <f t="shared" si="3"/>
        <v>42551</v>
      </c>
      <c r="B183" s="2">
        <f>Table1[[#This Row],[date]]-day_zero</f>
        <v>181</v>
      </c>
      <c r="C183" s="16">
        <f>WEEKDAY(Table1[[#This Row],[date]],2 )</f>
        <v>4</v>
      </c>
      <c r="D183" s="1">
        <v>15</v>
      </c>
      <c r="E183" s="1">
        <v>7.5</v>
      </c>
      <c r="F183" s="16">
        <f>IF(Table1[[#This Row],[weekday]]&lt;6,2,0)</f>
        <v>2</v>
      </c>
    </row>
    <row r="184" spans="1:6" x14ac:dyDescent="0.35">
      <c r="A184" s="14">
        <f t="shared" si="3"/>
        <v>42552</v>
      </c>
      <c r="B184" s="2">
        <f>Table1[[#This Row],[date]]-day_zero</f>
        <v>182</v>
      </c>
      <c r="C184" s="16">
        <f>WEEKDAY(Table1[[#This Row],[date]],2 )</f>
        <v>5</v>
      </c>
      <c r="D184" s="1">
        <v>15</v>
      </c>
      <c r="E184" s="1">
        <v>7.5</v>
      </c>
      <c r="F184" s="16">
        <f>IF(Table1[[#This Row],[weekday]]&lt;6,2,0)</f>
        <v>2</v>
      </c>
    </row>
    <row r="185" spans="1:6" x14ac:dyDescent="0.35">
      <c r="A185" s="14">
        <f t="shared" si="3"/>
        <v>42553</v>
      </c>
      <c r="B185" s="2">
        <f>Table1[[#This Row],[date]]-day_zero</f>
        <v>183</v>
      </c>
      <c r="C185" s="16">
        <f>WEEKDAY(Table1[[#This Row],[date]],2 )</f>
        <v>6</v>
      </c>
      <c r="D185" s="1">
        <v>15</v>
      </c>
      <c r="E185" s="1">
        <v>7.5</v>
      </c>
      <c r="F185" s="16">
        <f>IF(Table1[[#This Row],[weekday]]&lt;6,2,0)</f>
        <v>0</v>
      </c>
    </row>
    <row r="186" spans="1:6" x14ac:dyDescent="0.35">
      <c r="A186" s="14">
        <f t="shared" si="3"/>
        <v>42554</v>
      </c>
      <c r="B186" s="2">
        <f>Table1[[#This Row],[date]]-day_zero</f>
        <v>184</v>
      </c>
      <c r="C186" s="16">
        <f>WEEKDAY(Table1[[#This Row],[date]],2 )</f>
        <v>7</v>
      </c>
      <c r="D186" s="1">
        <v>15</v>
      </c>
      <c r="E186" s="1">
        <v>7.5</v>
      </c>
      <c r="F186" s="16">
        <f>IF(Table1[[#This Row],[weekday]]&lt;6,2,0)</f>
        <v>0</v>
      </c>
    </row>
    <row r="187" spans="1:6" x14ac:dyDescent="0.35">
      <c r="A187" s="14">
        <f t="shared" si="3"/>
        <v>42555</v>
      </c>
      <c r="B187" s="2">
        <f>Table1[[#This Row],[date]]-day_zero</f>
        <v>185</v>
      </c>
      <c r="C187" s="16">
        <f>WEEKDAY(Table1[[#This Row],[date]],2 )</f>
        <v>1</v>
      </c>
      <c r="D187" s="1">
        <v>15</v>
      </c>
      <c r="E187" s="1">
        <v>7.5</v>
      </c>
      <c r="F187" s="16">
        <f>IF(Table1[[#This Row],[weekday]]&lt;6,2,0)</f>
        <v>2</v>
      </c>
    </row>
    <row r="188" spans="1:6" x14ac:dyDescent="0.35">
      <c r="A188" s="14">
        <f t="shared" si="3"/>
        <v>42556</v>
      </c>
      <c r="B188" s="2">
        <f>Table1[[#This Row],[date]]-day_zero</f>
        <v>186</v>
      </c>
      <c r="C188" s="16">
        <f>WEEKDAY(Table1[[#This Row],[date]],2 )</f>
        <v>2</v>
      </c>
      <c r="D188" s="1">
        <v>15</v>
      </c>
      <c r="E188" s="1">
        <v>7.5</v>
      </c>
      <c r="F188" s="16">
        <f>IF(Table1[[#This Row],[weekday]]&lt;6,2,0)</f>
        <v>2</v>
      </c>
    </row>
    <row r="189" spans="1:6" x14ac:dyDescent="0.35">
      <c r="A189" s="14">
        <f t="shared" si="3"/>
        <v>42557</v>
      </c>
      <c r="B189" s="2">
        <f>Table1[[#This Row],[date]]-day_zero</f>
        <v>187</v>
      </c>
      <c r="C189" s="16">
        <f>WEEKDAY(Table1[[#This Row],[date]],2 )</f>
        <v>3</v>
      </c>
      <c r="D189" s="1">
        <v>15</v>
      </c>
      <c r="E189" s="1">
        <v>7.5</v>
      </c>
      <c r="F189" s="16">
        <f>IF(Table1[[#This Row],[weekday]]&lt;6,2,0)</f>
        <v>2</v>
      </c>
    </row>
    <row r="190" spans="1:6" x14ac:dyDescent="0.35">
      <c r="A190" s="14">
        <f t="shared" si="3"/>
        <v>42558</v>
      </c>
      <c r="B190" s="2">
        <f>Table1[[#This Row],[date]]-day_zero</f>
        <v>188</v>
      </c>
      <c r="C190" s="16">
        <f>WEEKDAY(Table1[[#This Row],[date]],2 )</f>
        <v>4</v>
      </c>
      <c r="D190" s="1">
        <v>15</v>
      </c>
      <c r="E190" s="1">
        <v>7.5</v>
      </c>
      <c r="F190" s="16">
        <f>IF(Table1[[#This Row],[weekday]]&lt;6,2,0)</f>
        <v>2</v>
      </c>
    </row>
    <row r="191" spans="1:6" x14ac:dyDescent="0.35">
      <c r="A191" s="14">
        <f t="shared" si="3"/>
        <v>42559</v>
      </c>
      <c r="B191" s="2">
        <f>Table1[[#This Row],[date]]-day_zero</f>
        <v>189</v>
      </c>
      <c r="C191" s="16">
        <f>WEEKDAY(Table1[[#This Row],[date]],2 )</f>
        <v>5</v>
      </c>
      <c r="D191" s="1">
        <v>15</v>
      </c>
      <c r="E191" s="1">
        <v>7.5</v>
      </c>
      <c r="F191" s="16">
        <f>IF(Table1[[#This Row],[weekday]]&lt;6,2,0)</f>
        <v>2</v>
      </c>
    </row>
    <row r="192" spans="1:6" x14ac:dyDescent="0.35">
      <c r="A192" s="14">
        <f t="shared" si="3"/>
        <v>42560</v>
      </c>
      <c r="B192" s="2">
        <f>Table1[[#This Row],[date]]-day_zero</f>
        <v>190</v>
      </c>
      <c r="C192" s="16">
        <f>WEEKDAY(Table1[[#This Row],[date]],2 )</f>
        <v>6</v>
      </c>
      <c r="D192" s="1">
        <v>15</v>
      </c>
      <c r="E192" s="1">
        <v>7.5</v>
      </c>
      <c r="F192" s="16">
        <f>IF(Table1[[#This Row],[weekday]]&lt;6,2,0)</f>
        <v>0</v>
      </c>
    </row>
    <row r="193" spans="1:6" x14ac:dyDescent="0.35">
      <c r="A193" s="14">
        <f t="shared" si="3"/>
        <v>42561</v>
      </c>
      <c r="B193" s="2">
        <f>Table1[[#This Row],[date]]-day_zero</f>
        <v>191</v>
      </c>
      <c r="C193" s="16">
        <f>WEEKDAY(Table1[[#This Row],[date]],2 )</f>
        <v>7</v>
      </c>
      <c r="D193" s="1">
        <v>15</v>
      </c>
      <c r="E193" s="1">
        <v>7.5</v>
      </c>
      <c r="F193" s="16">
        <f>IF(Table1[[#This Row],[weekday]]&lt;6,2,0)</f>
        <v>0</v>
      </c>
    </row>
    <row r="194" spans="1:6" x14ac:dyDescent="0.35">
      <c r="A194" s="14">
        <f t="shared" si="3"/>
        <v>42562</v>
      </c>
      <c r="B194" s="2">
        <f>Table1[[#This Row],[date]]-day_zero</f>
        <v>192</v>
      </c>
      <c r="C194" s="16">
        <f>WEEKDAY(Table1[[#This Row],[date]],2 )</f>
        <v>1</v>
      </c>
      <c r="D194" s="1">
        <v>15</v>
      </c>
      <c r="E194" s="1">
        <v>7.5</v>
      </c>
      <c r="F194" s="16">
        <f>IF(Table1[[#This Row],[weekday]]&lt;6,2,0)</f>
        <v>2</v>
      </c>
    </row>
    <row r="195" spans="1:6" x14ac:dyDescent="0.35">
      <c r="A195" s="14">
        <f t="shared" si="3"/>
        <v>42563</v>
      </c>
      <c r="B195" s="2">
        <f>Table1[[#This Row],[date]]-day_zero</f>
        <v>193</v>
      </c>
      <c r="C195" s="16">
        <f>WEEKDAY(Table1[[#This Row],[date]],2 )</f>
        <v>2</v>
      </c>
      <c r="D195" s="1">
        <v>15</v>
      </c>
      <c r="E195" s="1">
        <v>7.5</v>
      </c>
      <c r="F195" s="16">
        <f>IF(Table1[[#This Row],[weekday]]&lt;6,2,0)</f>
        <v>2</v>
      </c>
    </row>
    <row r="196" spans="1:6" x14ac:dyDescent="0.35">
      <c r="A196" s="14">
        <f t="shared" si="3"/>
        <v>42564</v>
      </c>
      <c r="B196" s="2">
        <f>Table1[[#This Row],[date]]-day_zero</f>
        <v>194</v>
      </c>
      <c r="C196" s="16">
        <f>WEEKDAY(Table1[[#This Row],[date]],2 )</f>
        <v>3</v>
      </c>
      <c r="D196" s="1">
        <v>15</v>
      </c>
      <c r="E196" s="1">
        <v>7.5</v>
      </c>
      <c r="F196" s="16">
        <f>IF(Table1[[#This Row],[weekday]]&lt;6,2,0)</f>
        <v>2</v>
      </c>
    </row>
    <row r="197" spans="1:6" x14ac:dyDescent="0.35">
      <c r="A197" s="14">
        <f t="shared" si="3"/>
        <v>42565</v>
      </c>
      <c r="B197" s="2">
        <f>Table1[[#This Row],[date]]-day_zero</f>
        <v>195</v>
      </c>
      <c r="C197" s="16">
        <f>WEEKDAY(Table1[[#This Row],[date]],2 )</f>
        <v>4</v>
      </c>
      <c r="D197" s="1">
        <v>15</v>
      </c>
      <c r="E197" s="1">
        <v>7.5</v>
      </c>
      <c r="F197" s="16">
        <f>IF(Table1[[#This Row],[weekday]]&lt;6,2,0)</f>
        <v>2</v>
      </c>
    </row>
    <row r="198" spans="1:6" x14ac:dyDescent="0.35">
      <c r="A198" s="14">
        <f t="shared" si="3"/>
        <v>42566</v>
      </c>
      <c r="B198" s="2">
        <f>Table1[[#This Row],[date]]-day_zero</f>
        <v>196</v>
      </c>
      <c r="C198" s="16">
        <f>WEEKDAY(Table1[[#This Row],[date]],2 )</f>
        <v>5</v>
      </c>
      <c r="D198" s="1">
        <v>15</v>
      </c>
      <c r="E198" s="1">
        <v>7.5</v>
      </c>
      <c r="F198" s="16">
        <f>IF(Table1[[#This Row],[weekday]]&lt;6,2,0)</f>
        <v>2</v>
      </c>
    </row>
    <row r="199" spans="1:6" x14ac:dyDescent="0.35">
      <c r="A199" s="14">
        <f t="shared" si="3"/>
        <v>42567</v>
      </c>
      <c r="B199" s="2">
        <f>Table1[[#This Row],[date]]-day_zero</f>
        <v>197</v>
      </c>
      <c r="C199" s="16">
        <f>WEEKDAY(Table1[[#This Row],[date]],2 )</f>
        <v>6</v>
      </c>
      <c r="D199" s="1">
        <v>15</v>
      </c>
      <c r="E199" s="1">
        <v>7.5</v>
      </c>
      <c r="F199" s="16">
        <f>IF(Table1[[#This Row],[weekday]]&lt;6,2,0)</f>
        <v>0</v>
      </c>
    </row>
    <row r="200" spans="1:6" x14ac:dyDescent="0.35">
      <c r="A200" s="14">
        <f t="shared" si="3"/>
        <v>42568</v>
      </c>
      <c r="B200" s="2">
        <f>Table1[[#This Row],[date]]-day_zero</f>
        <v>198</v>
      </c>
      <c r="C200" s="16">
        <f>WEEKDAY(Table1[[#This Row],[date]],2 )</f>
        <v>7</v>
      </c>
      <c r="D200" s="1">
        <v>15</v>
      </c>
      <c r="E200" s="1">
        <v>7.5</v>
      </c>
      <c r="F200" s="16">
        <f>IF(Table1[[#This Row],[weekday]]&lt;6,2,0)</f>
        <v>0</v>
      </c>
    </row>
    <row r="201" spans="1:6" x14ac:dyDescent="0.35">
      <c r="A201" s="14">
        <f t="shared" si="3"/>
        <v>42569</v>
      </c>
      <c r="B201" s="2">
        <f>Table1[[#This Row],[date]]-day_zero</f>
        <v>199</v>
      </c>
      <c r="C201" s="16">
        <f>WEEKDAY(Table1[[#This Row],[date]],2 )</f>
        <v>1</v>
      </c>
      <c r="D201" s="1">
        <v>15</v>
      </c>
      <c r="E201" s="1">
        <v>7.5</v>
      </c>
      <c r="F201" s="16">
        <f>IF(Table1[[#This Row],[weekday]]&lt;6,2,0)</f>
        <v>2</v>
      </c>
    </row>
    <row r="202" spans="1:6" x14ac:dyDescent="0.35">
      <c r="A202" s="14">
        <f t="shared" si="3"/>
        <v>42570</v>
      </c>
      <c r="B202" s="2">
        <f>Table1[[#This Row],[date]]-day_zero</f>
        <v>200</v>
      </c>
      <c r="C202" s="16">
        <f>WEEKDAY(Table1[[#This Row],[date]],2 )</f>
        <v>2</v>
      </c>
      <c r="D202" s="1">
        <v>15</v>
      </c>
      <c r="E202" s="1">
        <v>7.5</v>
      </c>
      <c r="F202" s="16">
        <f>IF(Table1[[#This Row],[weekday]]&lt;6,2,0)</f>
        <v>2</v>
      </c>
    </row>
    <row r="203" spans="1:6" x14ac:dyDescent="0.35">
      <c r="A203" s="14">
        <f t="shared" si="3"/>
        <v>42571</v>
      </c>
      <c r="B203" s="2">
        <f>Table1[[#This Row],[date]]-day_zero</f>
        <v>201</v>
      </c>
      <c r="C203" s="16">
        <f>WEEKDAY(Table1[[#This Row],[date]],2 )</f>
        <v>3</v>
      </c>
      <c r="D203" s="1">
        <v>15</v>
      </c>
      <c r="E203" s="1">
        <v>7.5</v>
      </c>
      <c r="F203" s="16">
        <f>IF(Table1[[#This Row],[weekday]]&lt;6,2,0)</f>
        <v>2</v>
      </c>
    </row>
    <row r="204" spans="1:6" x14ac:dyDescent="0.35">
      <c r="A204" s="14">
        <f t="shared" ref="A204:A267" si="4">A203+1</f>
        <v>42572</v>
      </c>
      <c r="B204" s="2">
        <f>Table1[[#This Row],[date]]-day_zero</f>
        <v>202</v>
      </c>
      <c r="C204" s="16">
        <f>WEEKDAY(Table1[[#This Row],[date]],2 )</f>
        <v>4</v>
      </c>
      <c r="D204" s="1">
        <v>15</v>
      </c>
      <c r="E204" s="1">
        <v>7.5</v>
      </c>
      <c r="F204" s="16">
        <f>IF(Table1[[#This Row],[weekday]]&lt;6,2,0)</f>
        <v>2</v>
      </c>
    </row>
    <row r="205" spans="1:6" x14ac:dyDescent="0.35">
      <c r="A205" s="14">
        <f t="shared" si="4"/>
        <v>42573</v>
      </c>
      <c r="B205" s="2">
        <f>Table1[[#This Row],[date]]-day_zero</f>
        <v>203</v>
      </c>
      <c r="C205" s="16">
        <f>WEEKDAY(Table1[[#This Row],[date]],2 )</f>
        <v>5</v>
      </c>
      <c r="D205" s="1">
        <v>15</v>
      </c>
      <c r="E205" s="1">
        <v>7.5</v>
      </c>
      <c r="F205" s="16">
        <f>IF(Table1[[#This Row],[weekday]]&lt;6,2,0)</f>
        <v>2</v>
      </c>
    </row>
    <row r="206" spans="1:6" x14ac:dyDescent="0.35">
      <c r="A206" s="14">
        <f t="shared" si="4"/>
        <v>42574</v>
      </c>
      <c r="B206" s="2">
        <f>Table1[[#This Row],[date]]-day_zero</f>
        <v>204</v>
      </c>
      <c r="C206" s="16">
        <f>WEEKDAY(Table1[[#This Row],[date]],2 )</f>
        <v>6</v>
      </c>
      <c r="D206" s="1">
        <v>15</v>
      </c>
      <c r="E206" s="1">
        <v>7.5</v>
      </c>
      <c r="F206" s="16">
        <f>IF(Table1[[#This Row],[weekday]]&lt;6,2,0)</f>
        <v>0</v>
      </c>
    </row>
    <row r="207" spans="1:6" x14ac:dyDescent="0.35">
      <c r="A207" s="14">
        <f t="shared" si="4"/>
        <v>42575</v>
      </c>
      <c r="B207" s="2">
        <f>Table1[[#This Row],[date]]-day_zero</f>
        <v>205</v>
      </c>
      <c r="C207" s="16">
        <f>WEEKDAY(Table1[[#This Row],[date]],2 )</f>
        <v>7</v>
      </c>
      <c r="D207" s="1">
        <v>15</v>
      </c>
      <c r="E207" s="1">
        <v>7.5</v>
      </c>
      <c r="F207" s="16">
        <f>IF(Table1[[#This Row],[weekday]]&lt;6,2,0)</f>
        <v>0</v>
      </c>
    </row>
    <row r="208" spans="1:6" x14ac:dyDescent="0.35">
      <c r="A208" s="14">
        <f t="shared" si="4"/>
        <v>42576</v>
      </c>
      <c r="B208" s="2">
        <f>Table1[[#This Row],[date]]-day_zero</f>
        <v>206</v>
      </c>
      <c r="C208" s="16">
        <f>WEEKDAY(Table1[[#This Row],[date]],2 )</f>
        <v>1</v>
      </c>
      <c r="D208" s="1">
        <v>15</v>
      </c>
      <c r="E208" s="1">
        <v>7.5</v>
      </c>
      <c r="F208" s="16">
        <f>IF(Table1[[#This Row],[weekday]]&lt;6,2,0)</f>
        <v>2</v>
      </c>
    </row>
    <row r="209" spans="1:6" x14ac:dyDescent="0.35">
      <c r="A209" s="14">
        <f t="shared" si="4"/>
        <v>42577</v>
      </c>
      <c r="B209" s="2">
        <f>Table1[[#This Row],[date]]-day_zero</f>
        <v>207</v>
      </c>
      <c r="C209" s="16">
        <f>WEEKDAY(Table1[[#This Row],[date]],2 )</f>
        <v>2</v>
      </c>
      <c r="D209" s="1">
        <v>15</v>
      </c>
      <c r="E209" s="1">
        <v>7.5</v>
      </c>
      <c r="F209" s="16">
        <f>IF(Table1[[#This Row],[weekday]]&lt;6,2,0)</f>
        <v>2</v>
      </c>
    </row>
    <row r="210" spans="1:6" x14ac:dyDescent="0.35">
      <c r="A210" s="14">
        <f t="shared" si="4"/>
        <v>42578</v>
      </c>
      <c r="B210" s="2">
        <f>Table1[[#This Row],[date]]-day_zero</f>
        <v>208</v>
      </c>
      <c r="C210" s="16">
        <f>WEEKDAY(Table1[[#This Row],[date]],2 )</f>
        <v>3</v>
      </c>
      <c r="D210" s="1">
        <v>15</v>
      </c>
      <c r="E210" s="1">
        <v>7.5</v>
      </c>
      <c r="F210" s="16">
        <f>IF(Table1[[#This Row],[weekday]]&lt;6,2,0)</f>
        <v>2</v>
      </c>
    </row>
    <row r="211" spans="1:6" x14ac:dyDescent="0.35">
      <c r="A211" s="14">
        <f t="shared" si="4"/>
        <v>42579</v>
      </c>
      <c r="B211" s="2">
        <f>Table1[[#This Row],[date]]-day_zero</f>
        <v>209</v>
      </c>
      <c r="C211" s="16">
        <f>WEEKDAY(Table1[[#This Row],[date]],2 )</f>
        <v>4</v>
      </c>
      <c r="D211" s="1">
        <v>15</v>
      </c>
      <c r="E211" s="1">
        <v>7.5</v>
      </c>
      <c r="F211" s="16">
        <f>IF(Table1[[#This Row],[weekday]]&lt;6,2,0)</f>
        <v>2</v>
      </c>
    </row>
    <row r="212" spans="1:6" x14ac:dyDescent="0.35">
      <c r="A212" s="14">
        <f t="shared" si="4"/>
        <v>42580</v>
      </c>
      <c r="B212" s="2">
        <f>Table1[[#This Row],[date]]-day_zero</f>
        <v>210</v>
      </c>
      <c r="C212" s="16">
        <f>WEEKDAY(Table1[[#This Row],[date]],2 )</f>
        <v>5</v>
      </c>
      <c r="D212" s="1">
        <v>15</v>
      </c>
      <c r="E212" s="1">
        <v>7.5</v>
      </c>
      <c r="F212" s="16">
        <f>IF(Table1[[#This Row],[weekday]]&lt;6,2,0)</f>
        <v>2</v>
      </c>
    </row>
    <row r="213" spans="1:6" x14ac:dyDescent="0.35">
      <c r="A213" s="14">
        <f t="shared" si="4"/>
        <v>42581</v>
      </c>
      <c r="B213" s="2">
        <f>Table1[[#This Row],[date]]-day_zero</f>
        <v>211</v>
      </c>
      <c r="C213" s="16">
        <f>WEEKDAY(Table1[[#This Row],[date]],2 )</f>
        <v>6</v>
      </c>
      <c r="D213" s="1">
        <v>15</v>
      </c>
      <c r="E213" s="1">
        <v>7.5</v>
      </c>
      <c r="F213" s="16">
        <f>IF(Table1[[#This Row],[weekday]]&lt;6,2,0)</f>
        <v>0</v>
      </c>
    </row>
    <row r="214" spans="1:6" x14ac:dyDescent="0.35">
      <c r="A214" s="14">
        <f t="shared" si="4"/>
        <v>42582</v>
      </c>
      <c r="B214" s="2">
        <f>Table1[[#This Row],[date]]-day_zero</f>
        <v>212</v>
      </c>
      <c r="C214" s="16">
        <f>WEEKDAY(Table1[[#This Row],[date]],2 )</f>
        <v>7</v>
      </c>
      <c r="D214" s="1">
        <v>15</v>
      </c>
      <c r="E214" s="1">
        <v>7.5</v>
      </c>
      <c r="F214" s="16">
        <f>IF(Table1[[#This Row],[weekday]]&lt;6,2,0)</f>
        <v>0</v>
      </c>
    </row>
    <row r="215" spans="1:6" x14ac:dyDescent="0.35">
      <c r="A215" s="14">
        <f t="shared" si="4"/>
        <v>42583</v>
      </c>
      <c r="B215" s="2">
        <f>Table1[[#This Row],[date]]-day_zero</f>
        <v>213</v>
      </c>
      <c r="C215" s="16">
        <f>WEEKDAY(Table1[[#This Row],[date]],2 )</f>
        <v>1</v>
      </c>
      <c r="D215" s="1">
        <v>15</v>
      </c>
      <c r="E215" s="1">
        <v>7.5</v>
      </c>
      <c r="F215" s="16">
        <f>IF(Table1[[#This Row],[weekday]]&lt;6,2,0)</f>
        <v>2</v>
      </c>
    </row>
    <row r="216" spans="1:6" x14ac:dyDescent="0.35">
      <c r="A216" s="14">
        <f t="shared" si="4"/>
        <v>42584</v>
      </c>
      <c r="B216" s="2">
        <f>Table1[[#This Row],[date]]-day_zero</f>
        <v>214</v>
      </c>
      <c r="C216" s="16">
        <f>WEEKDAY(Table1[[#This Row],[date]],2 )</f>
        <v>2</v>
      </c>
      <c r="D216" s="1">
        <v>15</v>
      </c>
      <c r="E216" s="1">
        <v>7.5</v>
      </c>
      <c r="F216" s="16">
        <f>IF(Table1[[#This Row],[weekday]]&lt;6,2,0)</f>
        <v>2</v>
      </c>
    </row>
    <row r="217" spans="1:6" x14ac:dyDescent="0.35">
      <c r="A217" s="14">
        <f t="shared" si="4"/>
        <v>42585</v>
      </c>
      <c r="B217" s="2">
        <f>Table1[[#This Row],[date]]-day_zero</f>
        <v>215</v>
      </c>
      <c r="C217" s="16">
        <f>WEEKDAY(Table1[[#This Row],[date]],2 )</f>
        <v>3</v>
      </c>
      <c r="D217" s="1">
        <v>15</v>
      </c>
      <c r="E217" s="1">
        <v>7.5</v>
      </c>
      <c r="F217" s="16">
        <f>IF(Table1[[#This Row],[weekday]]&lt;6,2,0)</f>
        <v>2</v>
      </c>
    </row>
    <row r="218" spans="1:6" x14ac:dyDescent="0.35">
      <c r="A218" s="14">
        <f t="shared" si="4"/>
        <v>42586</v>
      </c>
      <c r="B218" s="2">
        <f>Table1[[#This Row],[date]]-day_zero</f>
        <v>216</v>
      </c>
      <c r="C218" s="16">
        <f>WEEKDAY(Table1[[#This Row],[date]],2 )</f>
        <v>4</v>
      </c>
      <c r="D218" s="1">
        <v>15</v>
      </c>
      <c r="E218" s="1">
        <v>7.5</v>
      </c>
      <c r="F218" s="16">
        <f>IF(Table1[[#This Row],[weekday]]&lt;6,2,0)</f>
        <v>2</v>
      </c>
    </row>
    <row r="219" spans="1:6" x14ac:dyDescent="0.35">
      <c r="A219" s="14">
        <f t="shared" si="4"/>
        <v>42587</v>
      </c>
      <c r="B219" s="2">
        <f>Table1[[#This Row],[date]]-day_zero</f>
        <v>217</v>
      </c>
      <c r="C219" s="16">
        <f>WEEKDAY(Table1[[#This Row],[date]],2 )</f>
        <v>5</v>
      </c>
      <c r="D219" s="1">
        <v>15</v>
      </c>
      <c r="E219" s="1">
        <v>7.5</v>
      </c>
      <c r="F219" s="16">
        <f>IF(Table1[[#This Row],[weekday]]&lt;6,2,0)</f>
        <v>2</v>
      </c>
    </row>
    <row r="220" spans="1:6" x14ac:dyDescent="0.35">
      <c r="A220" s="14">
        <f t="shared" si="4"/>
        <v>42588</v>
      </c>
      <c r="B220" s="2">
        <f>Table1[[#This Row],[date]]-day_zero</f>
        <v>218</v>
      </c>
      <c r="C220" s="16">
        <f>WEEKDAY(Table1[[#This Row],[date]],2 )</f>
        <v>6</v>
      </c>
      <c r="D220" s="1">
        <v>15</v>
      </c>
      <c r="E220" s="1">
        <v>7.5</v>
      </c>
      <c r="F220" s="16">
        <f>IF(Table1[[#This Row],[weekday]]&lt;6,2,0)</f>
        <v>0</v>
      </c>
    </row>
    <row r="221" spans="1:6" x14ac:dyDescent="0.35">
      <c r="A221" s="14">
        <f t="shared" si="4"/>
        <v>42589</v>
      </c>
      <c r="B221" s="2">
        <f>Table1[[#This Row],[date]]-day_zero</f>
        <v>219</v>
      </c>
      <c r="C221" s="16">
        <f>WEEKDAY(Table1[[#This Row],[date]],2 )</f>
        <v>7</v>
      </c>
      <c r="D221" s="1">
        <v>15</v>
      </c>
      <c r="E221" s="1">
        <v>7.5</v>
      </c>
      <c r="F221" s="16">
        <f>IF(Table1[[#This Row],[weekday]]&lt;6,2,0)</f>
        <v>0</v>
      </c>
    </row>
    <row r="222" spans="1:6" x14ac:dyDescent="0.35">
      <c r="A222" s="14">
        <f t="shared" si="4"/>
        <v>42590</v>
      </c>
      <c r="B222" s="2">
        <f>Table1[[#This Row],[date]]-day_zero</f>
        <v>220</v>
      </c>
      <c r="C222" s="16">
        <f>WEEKDAY(Table1[[#This Row],[date]],2 )</f>
        <v>1</v>
      </c>
      <c r="D222" s="1">
        <v>15</v>
      </c>
      <c r="E222" s="1">
        <v>7.5</v>
      </c>
      <c r="F222" s="16">
        <f>IF(Table1[[#This Row],[weekday]]&lt;6,2,0)</f>
        <v>2</v>
      </c>
    </row>
    <row r="223" spans="1:6" x14ac:dyDescent="0.35">
      <c r="A223" s="14">
        <f t="shared" si="4"/>
        <v>42591</v>
      </c>
      <c r="B223" s="2">
        <f>Table1[[#This Row],[date]]-day_zero</f>
        <v>221</v>
      </c>
      <c r="C223" s="16">
        <f>WEEKDAY(Table1[[#This Row],[date]],2 )</f>
        <v>2</v>
      </c>
      <c r="D223" s="1">
        <v>15</v>
      </c>
      <c r="E223" s="1">
        <v>7.5</v>
      </c>
      <c r="F223" s="16">
        <f>IF(Table1[[#This Row],[weekday]]&lt;6,2,0)</f>
        <v>2</v>
      </c>
    </row>
    <row r="224" spans="1:6" x14ac:dyDescent="0.35">
      <c r="A224" s="14">
        <f t="shared" si="4"/>
        <v>42592</v>
      </c>
      <c r="B224" s="2">
        <f>Table1[[#This Row],[date]]-day_zero</f>
        <v>222</v>
      </c>
      <c r="C224" s="16">
        <f>WEEKDAY(Table1[[#This Row],[date]],2 )</f>
        <v>3</v>
      </c>
      <c r="D224" s="1">
        <v>15</v>
      </c>
      <c r="E224" s="1">
        <v>7.5</v>
      </c>
      <c r="F224" s="16">
        <f>IF(Table1[[#This Row],[weekday]]&lt;6,2,0)</f>
        <v>2</v>
      </c>
    </row>
    <row r="225" spans="1:6" x14ac:dyDescent="0.35">
      <c r="A225" s="14">
        <f t="shared" si="4"/>
        <v>42593</v>
      </c>
      <c r="B225" s="2">
        <f>Table1[[#This Row],[date]]-day_zero</f>
        <v>223</v>
      </c>
      <c r="C225" s="16">
        <f>WEEKDAY(Table1[[#This Row],[date]],2 )</f>
        <v>4</v>
      </c>
      <c r="D225" s="1">
        <v>15</v>
      </c>
      <c r="E225" s="1">
        <v>7.5</v>
      </c>
      <c r="F225" s="16">
        <f>IF(Table1[[#This Row],[weekday]]&lt;6,2,0)</f>
        <v>2</v>
      </c>
    </row>
    <row r="226" spans="1:6" x14ac:dyDescent="0.35">
      <c r="A226" s="14">
        <f t="shared" si="4"/>
        <v>42594</v>
      </c>
      <c r="B226" s="2">
        <f>Table1[[#This Row],[date]]-day_zero</f>
        <v>224</v>
      </c>
      <c r="C226" s="16">
        <f>WEEKDAY(Table1[[#This Row],[date]],2 )</f>
        <v>5</v>
      </c>
      <c r="D226" s="1">
        <v>15</v>
      </c>
      <c r="E226" s="1">
        <v>7.5</v>
      </c>
      <c r="F226" s="16">
        <f>IF(Table1[[#This Row],[weekday]]&lt;6,2,0)</f>
        <v>2</v>
      </c>
    </row>
    <row r="227" spans="1:6" x14ac:dyDescent="0.35">
      <c r="A227" s="14">
        <f t="shared" si="4"/>
        <v>42595</v>
      </c>
      <c r="B227" s="2">
        <f>Table1[[#This Row],[date]]-day_zero</f>
        <v>225</v>
      </c>
      <c r="C227" s="16">
        <f>WEEKDAY(Table1[[#This Row],[date]],2 )</f>
        <v>6</v>
      </c>
      <c r="D227" s="1">
        <v>15</v>
      </c>
      <c r="E227" s="1">
        <v>7.5</v>
      </c>
      <c r="F227" s="16">
        <f>IF(Table1[[#This Row],[weekday]]&lt;6,2,0)</f>
        <v>0</v>
      </c>
    </row>
    <row r="228" spans="1:6" x14ac:dyDescent="0.35">
      <c r="A228" s="14">
        <f t="shared" si="4"/>
        <v>42596</v>
      </c>
      <c r="B228" s="2">
        <f>Table1[[#This Row],[date]]-day_zero</f>
        <v>226</v>
      </c>
      <c r="C228" s="16">
        <f>WEEKDAY(Table1[[#This Row],[date]],2 )</f>
        <v>7</v>
      </c>
      <c r="D228" s="1">
        <v>15</v>
      </c>
      <c r="E228" s="1">
        <v>7.5</v>
      </c>
      <c r="F228" s="16">
        <f>IF(Table1[[#This Row],[weekday]]&lt;6,2,0)</f>
        <v>0</v>
      </c>
    </row>
    <row r="229" spans="1:6" x14ac:dyDescent="0.35">
      <c r="A229" s="14">
        <f t="shared" si="4"/>
        <v>42597</v>
      </c>
      <c r="B229" s="2">
        <f>Table1[[#This Row],[date]]-day_zero</f>
        <v>227</v>
      </c>
      <c r="C229" s="16">
        <f>WEEKDAY(Table1[[#This Row],[date]],2 )</f>
        <v>1</v>
      </c>
      <c r="D229" s="1">
        <v>15</v>
      </c>
      <c r="E229" s="1">
        <v>7.5</v>
      </c>
      <c r="F229" s="16">
        <f>IF(Table1[[#This Row],[weekday]]&lt;6,2,0)</f>
        <v>2</v>
      </c>
    </row>
    <row r="230" spans="1:6" x14ac:dyDescent="0.35">
      <c r="A230" s="14">
        <f t="shared" si="4"/>
        <v>42598</v>
      </c>
      <c r="B230" s="2">
        <f>Table1[[#This Row],[date]]-day_zero</f>
        <v>228</v>
      </c>
      <c r="C230" s="16">
        <f>WEEKDAY(Table1[[#This Row],[date]],2 )</f>
        <v>2</v>
      </c>
      <c r="D230" s="1">
        <v>15</v>
      </c>
      <c r="E230" s="1">
        <v>7.5</v>
      </c>
      <c r="F230" s="16">
        <f>IF(Table1[[#This Row],[weekday]]&lt;6,2,0)</f>
        <v>2</v>
      </c>
    </row>
    <row r="231" spans="1:6" x14ac:dyDescent="0.35">
      <c r="A231" s="14">
        <f t="shared" si="4"/>
        <v>42599</v>
      </c>
      <c r="B231" s="2">
        <f>Table1[[#This Row],[date]]-day_zero</f>
        <v>229</v>
      </c>
      <c r="C231" s="16">
        <f>WEEKDAY(Table1[[#This Row],[date]],2 )</f>
        <v>3</v>
      </c>
      <c r="D231" s="1">
        <v>15</v>
      </c>
      <c r="E231" s="1">
        <v>7.5</v>
      </c>
      <c r="F231" s="16">
        <f>IF(Table1[[#This Row],[weekday]]&lt;6,2,0)</f>
        <v>2</v>
      </c>
    </row>
    <row r="232" spans="1:6" x14ac:dyDescent="0.35">
      <c r="A232" s="14">
        <f t="shared" si="4"/>
        <v>42600</v>
      </c>
      <c r="B232" s="2">
        <f>Table1[[#This Row],[date]]-day_zero</f>
        <v>230</v>
      </c>
      <c r="C232" s="16">
        <f>WEEKDAY(Table1[[#This Row],[date]],2 )</f>
        <v>4</v>
      </c>
      <c r="D232" s="1">
        <v>15</v>
      </c>
      <c r="E232" s="1">
        <v>7.5</v>
      </c>
      <c r="F232" s="16">
        <f>IF(Table1[[#This Row],[weekday]]&lt;6,2,0)</f>
        <v>2</v>
      </c>
    </row>
    <row r="233" spans="1:6" x14ac:dyDescent="0.35">
      <c r="A233" s="14">
        <f t="shared" si="4"/>
        <v>42601</v>
      </c>
      <c r="B233" s="2">
        <f>Table1[[#This Row],[date]]-day_zero</f>
        <v>231</v>
      </c>
      <c r="C233" s="16">
        <f>WEEKDAY(Table1[[#This Row],[date]],2 )</f>
        <v>5</v>
      </c>
      <c r="D233" s="1">
        <v>15</v>
      </c>
      <c r="E233" s="1">
        <v>7.5</v>
      </c>
      <c r="F233" s="16">
        <f>IF(Table1[[#This Row],[weekday]]&lt;6,2,0)</f>
        <v>2</v>
      </c>
    </row>
    <row r="234" spans="1:6" x14ac:dyDescent="0.35">
      <c r="A234" s="14">
        <f t="shared" si="4"/>
        <v>42602</v>
      </c>
      <c r="B234" s="2">
        <f>Table1[[#This Row],[date]]-day_zero</f>
        <v>232</v>
      </c>
      <c r="C234" s="16">
        <f>WEEKDAY(Table1[[#This Row],[date]],2 )</f>
        <v>6</v>
      </c>
      <c r="D234" s="1">
        <v>15</v>
      </c>
      <c r="E234" s="1">
        <v>7.5</v>
      </c>
      <c r="F234" s="16">
        <f>IF(Table1[[#This Row],[weekday]]&lt;6,2,0)</f>
        <v>0</v>
      </c>
    </row>
    <row r="235" spans="1:6" x14ac:dyDescent="0.35">
      <c r="A235" s="14">
        <f t="shared" si="4"/>
        <v>42603</v>
      </c>
      <c r="B235" s="2">
        <f>Table1[[#This Row],[date]]-day_zero</f>
        <v>233</v>
      </c>
      <c r="C235" s="16">
        <f>WEEKDAY(Table1[[#This Row],[date]],2 )</f>
        <v>7</v>
      </c>
      <c r="D235" s="1">
        <v>15</v>
      </c>
      <c r="E235" s="1">
        <v>7.5</v>
      </c>
      <c r="F235" s="16">
        <f>IF(Table1[[#This Row],[weekday]]&lt;6,2,0)</f>
        <v>0</v>
      </c>
    </row>
    <row r="236" spans="1:6" x14ac:dyDescent="0.35">
      <c r="A236" s="14">
        <f t="shared" si="4"/>
        <v>42604</v>
      </c>
      <c r="B236" s="2">
        <f>Table1[[#This Row],[date]]-day_zero</f>
        <v>234</v>
      </c>
      <c r="C236" s="16">
        <f>WEEKDAY(Table1[[#This Row],[date]],2 )</f>
        <v>1</v>
      </c>
      <c r="D236" s="1">
        <v>15</v>
      </c>
      <c r="E236" s="1">
        <v>7.5</v>
      </c>
      <c r="F236" s="16">
        <f>IF(Table1[[#This Row],[weekday]]&lt;6,2,0)</f>
        <v>2</v>
      </c>
    </row>
    <row r="237" spans="1:6" x14ac:dyDescent="0.35">
      <c r="A237" s="14">
        <f t="shared" si="4"/>
        <v>42605</v>
      </c>
      <c r="B237" s="2">
        <f>Table1[[#This Row],[date]]-day_zero</f>
        <v>235</v>
      </c>
      <c r="C237" s="16">
        <f>WEEKDAY(Table1[[#This Row],[date]],2 )</f>
        <v>2</v>
      </c>
      <c r="D237" s="1">
        <v>15</v>
      </c>
      <c r="E237" s="1">
        <v>7.5</v>
      </c>
      <c r="F237" s="16">
        <f>IF(Table1[[#This Row],[weekday]]&lt;6,2,0)</f>
        <v>2</v>
      </c>
    </row>
    <row r="238" spans="1:6" x14ac:dyDescent="0.35">
      <c r="A238" s="14">
        <f t="shared" si="4"/>
        <v>42606</v>
      </c>
      <c r="B238" s="2">
        <f>Table1[[#This Row],[date]]-day_zero</f>
        <v>236</v>
      </c>
      <c r="C238" s="16">
        <f>WEEKDAY(Table1[[#This Row],[date]],2 )</f>
        <v>3</v>
      </c>
      <c r="D238" s="1">
        <v>15</v>
      </c>
      <c r="E238" s="1">
        <v>7.5</v>
      </c>
      <c r="F238" s="16">
        <f>IF(Table1[[#This Row],[weekday]]&lt;6,2,0)</f>
        <v>2</v>
      </c>
    </row>
    <row r="239" spans="1:6" x14ac:dyDescent="0.35">
      <c r="A239" s="14">
        <f t="shared" si="4"/>
        <v>42607</v>
      </c>
      <c r="B239" s="2">
        <f>Table1[[#This Row],[date]]-day_zero</f>
        <v>237</v>
      </c>
      <c r="C239" s="16">
        <f>WEEKDAY(Table1[[#This Row],[date]],2 )</f>
        <v>4</v>
      </c>
      <c r="D239" s="1">
        <v>15</v>
      </c>
      <c r="E239" s="1">
        <v>7.5</v>
      </c>
      <c r="F239" s="16">
        <f>IF(Table1[[#This Row],[weekday]]&lt;6,2,0)</f>
        <v>2</v>
      </c>
    </row>
    <row r="240" spans="1:6" x14ac:dyDescent="0.35">
      <c r="A240" s="14">
        <f t="shared" si="4"/>
        <v>42608</v>
      </c>
      <c r="B240" s="2">
        <f>Table1[[#This Row],[date]]-day_zero</f>
        <v>238</v>
      </c>
      <c r="C240" s="16">
        <f>WEEKDAY(Table1[[#This Row],[date]],2 )</f>
        <v>5</v>
      </c>
      <c r="D240" s="1">
        <v>15</v>
      </c>
      <c r="E240" s="1">
        <v>7.5</v>
      </c>
      <c r="F240" s="16">
        <f>IF(Table1[[#This Row],[weekday]]&lt;6,2,0)</f>
        <v>2</v>
      </c>
    </row>
    <row r="241" spans="1:6" x14ac:dyDescent="0.35">
      <c r="A241" s="14">
        <f t="shared" si="4"/>
        <v>42609</v>
      </c>
      <c r="B241" s="2">
        <f>Table1[[#This Row],[date]]-day_zero</f>
        <v>239</v>
      </c>
      <c r="C241" s="16">
        <f>WEEKDAY(Table1[[#This Row],[date]],2 )</f>
        <v>6</v>
      </c>
      <c r="D241" s="1">
        <v>15</v>
      </c>
      <c r="E241" s="1">
        <v>7.5</v>
      </c>
      <c r="F241" s="16">
        <f>IF(Table1[[#This Row],[weekday]]&lt;6,2,0)</f>
        <v>0</v>
      </c>
    </row>
    <row r="242" spans="1:6" x14ac:dyDescent="0.35">
      <c r="A242" s="14">
        <f t="shared" si="4"/>
        <v>42610</v>
      </c>
      <c r="B242" s="2">
        <f>Table1[[#This Row],[date]]-day_zero</f>
        <v>240</v>
      </c>
      <c r="C242" s="16">
        <f>WEEKDAY(Table1[[#This Row],[date]],2 )</f>
        <v>7</v>
      </c>
      <c r="D242" s="1">
        <v>15</v>
      </c>
      <c r="E242" s="1">
        <v>7.5</v>
      </c>
      <c r="F242" s="16">
        <f>IF(Table1[[#This Row],[weekday]]&lt;6,2,0)</f>
        <v>0</v>
      </c>
    </row>
    <row r="243" spans="1:6" x14ac:dyDescent="0.35">
      <c r="A243" s="14">
        <f t="shared" si="4"/>
        <v>42611</v>
      </c>
      <c r="B243" s="2">
        <f>Table1[[#This Row],[date]]-day_zero</f>
        <v>241</v>
      </c>
      <c r="C243" s="16">
        <f>WEEKDAY(Table1[[#This Row],[date]],2 )</f>
        <v>1</v>
      </c>
      <c r="D243" s="1">
        <v>15</v>
      </c>
      <c r="E243" s="1">
        <v>7.5</v>
      </c>
      <c r="F243" s="16">
        <f>IF(Table1[[#This Row],[weekday]]&lt;6,2,0)</f>
        <v>2</v>
      </c>
    </row>
    <row r="244" spans="1:6" x14ac:dyDescent="0.35">
      <c r="A244" s="14">
        <f t="shared" si="4"/>
        <v>42612</v>
      </c>
      <c r="B244" s="2">
        <f>Table1[[#This Row],[date]]-day_zero</f>
        <v>242</v>
      </c>
      <c r="C244" s="16">
        <f>WEEKDAY(Table1[[#This Row],[date]],2 )</f>
        <v>2</v>
      </c>
      <c r="D244" s="1">
        <v>15</v>
      </c>
      <c r="E244" s="1">
        <v>7.5</v>
      </c>
      <c r="F244" s="16">
        <f>IF(Table1[[#This Row],[weekday]]&lt;6,2,0)</f>
        <v>2</v>
      </c>
    </row>
    <row r="245" spans="1:6" x14ac:dyDescent="0.35">
      <c r="A245" s="14">
        <f t="shared" si="4"/>
        <v>42613</v>
      </c>
      <c r="B245" s="2">
        <f>Table1[[#This Row],[date]]-day_zero</f>
        <v>243</v>
      </c>
      <c r="C245" s="16">
        <f>WEEKDAY(Table1[[#This Row],[date]],2 )</f>
        <v>3</v>
      </c>
      <c r="D245" s="1">
        <v>15</v>
      </c>
      <c r="E245" s="1">
        <v>7.5</v>
      </c>
      <c r="F245" s="16">
        <f>IF(Table1[[#This Row],[weekday]]&lt;6,2,0)</f>
        <v>2</v>
      </c>
    </row>
    <row r="246" spans="1:6" x14ac:dyDescent="0.35">
      <c r="A246" s="14">
        <f t="shared" si="4"/>
        <v>42614</v>
      </c>
      <c r="B246" s="2">
        <f>Table1[[#This Row],[date]]-day_zero</f>
        <v>244</v>
      </c>
      <c r="C246" s="16">
        <f>WEEKDAY(Table1[[#This Row],[date]],2 )</f>
        <v>4</v>
      </c>
      <c r="D246" s="1">
        <v>15</v>
      </c>
      <c r="E246" s="1">
        <v>7.5</v>
      </c>
      <c r="F246" s="16">
        <f>IF(Table1[[#This Row],[weekday]]&lt;6,2,0)</f>
        <v>2</v>
      </c>
    </row>
    <row r="247" spans="1:6" x14ac:dyDescent="0.35">
      <c r="A247" s="14">
        <f t="shared" si="4"/>
        <v>42615</v>
      </c>
      <c r="B247" s="2">
        <f>Table1[[#This Row],[date]]-day_zero</f>
        <v>245</v>
      </c>
      <c r="C247" s="16">
        <f>WEEKDAY(Table1[[#This Row],[date]],2 )</f>
        <v>5</v>
      </c>
      <c r="D247" s="1">
        <v>15</v>
      </c>
      <c r="E247" s="1">
        <v>7.5</v>
      </c>
      <c r="F247" s="16">
        <f>IF(Table1[[#This Row],[weekday]]&lt;6,2,0)</f>
        <v>2</v>
      </c>
    </row>
    <row r="248" spans="1:6" x14ac:dyDescent="0.35">
      <c r="A248" s="14">
        <f t="shared" si="4"/>
        <v>42616</v>
      </c>
      <c r="B248" s="2">
        <f>Table1[[#This Row],[date]]-day_zero</f>
        <v>246</v>
      </c>
      <c r="C248" s="16">
        <f>WEEKDAY(Table1[[#This Row],[date]],2 )</f>
        <v>6</v>
      </c>
      <c r="D248" s="1">
        <v>15</v>
      </c>
      <c r="E248" s="1">
        <v>7.5</v>
      </c>
      <c r="F248" s="16">
        <f>IF(Table1[[#This Row],[weekday]]&lt;6,2,0)</f>
        <v>0</v>
      </c>
    </row>
    <row r="249" spans="1:6" x14ac:dyDescent="0.35">
      <c r="A249" s="14">
        <f t="shared" si="4"/>
        <v>42617</v>
      </c>
      <c r="B249" s="2">
        <f>Table1[[#This Row],[date]]-day_zero</f>
        <v>247</v>
      </c>
      <c r="C249" s="16">
        <f>WEEKDAY(Table1[[#This Row],[date]],2 )</f>
        <v>7</v>
      </c>
      <c r="D249" s="1">
        <v>15</v>
      </c>
      <c r="E249" s="1">
        <v>7.5</v>
      </c>
      <c r="F249" s="16">
        <f>IF(Table1[[#This Row],[weekday]]&lt;6,2,0)</f>
        <v>0</v>
      </c>
    </row>
    <row r="250" spans="1:6" x14ac:dyDescent="0.35">
      <c r="A250" s="14">
        <f t="shared" si="4"/>
        <v>42618</v>
      </c>
      <c r="B250" s="2">
        <f>Table1[[#This Row],[date]]-day_zero</f>
        <v>248</v>
      </c>
      <c r="C250" s="16">
        <f>WEEKDAY(Table1[[#This Row],[date]],2 )</f>
        <v>1</v>
      </c>
      <c r="D250" s="1">
        <v>15</v>
      </c>
      <c r="E250" s="1">
        <v>7.5</v>
      </c>
      <c r="F250" s="16">
        <f>IF(Table1[[#This Row],[weekday]]&lt;6,2,0)</f>
        <v>2</v>
      </c>
    </row>
    <row r="251" spans="1:6" x14ac:dyDescent="0.35">
      <c r="A251" s="14">
        <f t="shared" si="4"/>
        <v>42619</v>
      </c>
      <c r="B251" s="2">
        <f>Table1[[#This Row],[date]]-day_zero</f>
        <v>249</v>
      </c>
      <c r="C251" s="16">
        <f>WEEKDAY(Table1[[#This Row],[date]],2 )</f>
        <v>2</v>
      </c>
      <c r="D251" s="1">
        <v>15</v>
      </c>
      <c r="E251" s="1">
        <v>7.5</v>
      </c>
      <c r="F251" s="16">
        <f>IF(Table1[[#This Row],[weekday]]&lt;6,2,0)</f>
        <v>2</v>
      </c>
    </row>
    <row r="252" spans="1:6" x14ac:dyDescent="0.35">
      <c r="A252" s="14">
        <f t="shared" si="4"/>
        <v>42620</v>
      </c>
      <c r="B252" s="2">
        <f>Table1[[#This Row],[date]]-day_zero</f>
        <v>250</v>
      </c>
      <c r="C252" s="16">
        <f>WEEKDAY(Table1[[#This Row],[date]],2 )</f>
        <v>3</v>
      </c>
      <c r="D252" s="1">
        <v>15</v>
      </c>
      <c r="E252" s="1">
        <v>7.5</v>
      </c>
      <c r="F252" s="16">
        <f>IF(Table1[[#This Row],[weekday]]&lt;6,2,0)</f>
        <v>2</v>
      </c>
    </row>
    <row r="253" spans="1:6" x14ac:dyDescent="0.35">
      <c r="A253" s="14">
        <f t="shared" si="4"/>
        <v>42621</v>
      </c>
      <c r="B253" s="2">
        <f>Table1[[#This Row],[date]]-day_zero</f>
        <v>251</v>
      </c>
      <c r="C253" s="16">
        <f>WEEKDAY(Table1[[#This Row],[date]],2 )</f>
        <v>4</v>
      </c>
      <c r="D253" s="1">
        <v>15</v>
      </c>
      <c r="E253" s="1">
        <v>7.5</v>
      </c>
      <c r="F253" s="16">
        <f>IF(Table1[[#This Row],[weekday]]&lt;6,2,0)</f>
        <v>2</v>
      </c>
    </row>
    <row r="254" spans="1:6" x14ac:dyDescent="0.35">
      <c r="A254" s="14">
        <f t="shared" si="4"/>
        <v>42622</v>
      </c>
      <c r="B254" s="2">
        <f>Table1[[#This Row],[date]]-day_zero</f>
        <v>252</v>
      </c>
      <c r="C254" s="16">
        <f>WEEKDAY(Table1[[#This Row],[date]],2 )</f>
        <v>5</v>
      </c>
      <c r="D254" s="1">
        <v>15</v>
      </c>
      <c r="E254" s="1">
        <v>7.5</v>
      </c>
      <c r="F254" s="16">
        <f>IF(Table1[[#This Row],[weekday]]&lt;6,2,0)</f>
        <v>2</v>
      </c>
    </row>
    <row r="255" spans="1:6" x14ac:dyDescent="0.35">
      <c r="A255" s="14">
        <f t="shared" si="4"/>
        <v>42623</v>
      </c>
      <c r="B255" s="2">
        <f>Table1[[#This Row],[date]]-day_zero</f>
        <v>253</v>
      </c>
      <c r="C255" s="16">
        <f>WEEKDAY(Table1[[#This Row],[date]],2 )</f>
        <v>6</v>
      </c>
      <c r="D255" s="1">
        <v>15</v>
      </c>
      <c r="E255" s="1">
        <v>7.5</v>
      </c>
      <c r="F255" s="16">
        <f>IF(Table1[[#This Row],[weekday]]&lt;6,2,0)</f>
        <v>0</v>
      </c>
    </row>
    <row r="256" spans="1:6" x14ac:dyDescent="0.35">
      <c r="A256" s="14">
        <f t="shared" si="4"/>
        <v>42624</v>
      </c>
      <c r="B256" s="2">
        <f>Table1[[#This Row],[date]]-day_zero</f>
        <v>254</v>
      </c>
      <c r="C256" s="16">
        <f>WEEKDAY(Table1[[#This Row],[date]],2 )</f>
        <v>7</v>
      </c>
      <c r="D256" s="1">
        <v>15</v>
      </c>
      <c r="E256" s="1">
        <v>7.5</v>
      </c>
      <c r="F256" s="16">
        <f>IF(Table1[[#This Row],[weekday]]&lt;6,2,0)</f>
        <v>0</v>
      </c>
    </row>
    <row r="257" spans="1:6" x14ac:dyDescent="0.35">
      <c r="A257" s="14">
        <f t="shared" si="4"/>
        <v>42625</v>
      </c>
      <c r="B257" s="2">
        <f>Table1[[#This Row],[date]]-day_zero</f>
        <v>255</v>
      </c>
      <c r="C257" s="16">
        <f>WEEKDAY(Table1[[#This Row],[date]],2 )</f>
        <v>1</v>
      </c>
      <c r="D257" s="1">
        <v>15</v>
      </c>
      <c r="E257" s="1">
        <v>7.5</v>
      </c>
      <c r="F257" s="16">
        <f>IF(Table1[[#This Row],[weekday]]&lt;6,2,0)</f>
        <v>2</v>
      </c>
    </row>
    <row r="258" spans="1:6" x14ac:dyDescent="0.35">
      <c r="A258" s="14">
        <f t="shared" si="4"/>
        <v>42626</v>
      </c>
      <c r="B258" s="2">
        <f>Table1[[#This Row],[date]]-day_zero</f>
        <v>256</v>
      </c>
      <c r="C258" s="16">
        <f>WEEKDAY(Table1[[#This Row],[date]],2 )</f>
        <v>2</v>
      </c>
      <c r="D258" s="1">
        <v>15</v>
      </c>
      <c r="E258" s="1">
        <v>7.5</v>
      </c>
      <c r="F258" s="16">
        <f>IF(Table1[[#This Row],[weekday]]&lt;6,2,0)</f>
        <v>2</v>
      </c>
    </row>
    <row r="259" spans="1:6" x14ac:dyDescent="0.35">
      <c r="A259" s="14">
        <f t="shared" si="4"/>
        <v>42627</v>
      </c>
      <c r="B259" s="2">
        <f>Table1[[#This Row],[date]]-day_zero</f>
        <v>257</v>
      </c>
      <c r="C259" s="16">
        <f>WEEKDAY(Table1[[#This Row],[date]],2 )</f>
        <v>3</v>
      </c>
      <c r="D259" s="1">
        <v>15</v>
      </c>
      <c r="E259" s="1">
        <v>7.5</v>
      </c>
      <c r="F259" s="16">
        <f>IF(Table1[[#This Row],[weekday]]&lt;6,2,0)</f>
        <v>2</v>
      </c>
    </row>
    <row r="260" spans="1:6" x14ac:dyDescent="0.35">
      <c r="A260" s="14">
        <f t="shared" si="4"/>
        <v>42628</v>
      </c>
      <c r="B260" s="2">
        <f>Table1[[#This Row],[date]]-day_zero</f>
        <v>258</v>
      </c>
      <c r="C260" s="16">
        <f>WEEKDAY(Table1[[#This Row],[date]],2 )</f>
        <v>4</v>
      </c>
      <c r="D260" s="1">
        <v>15</v>
      </c>
      <c r="E260" s="1">
        <v>7.5</v>
      </c>
      <c r="F260" s="16">
        <f>IF(Table1[[#This Row],[weekday]]&lt;6,2,0)</f>
        <v>2</v>
      </c>
    </row>
    <row r="261" spans="1:6" x14ac:dyDescent="0.35">
      <c r="A261" s="14">
        <f t="shared" si="4"/>
        <v>42629</v>
      </c>
      <c r="B261" s="2">
        <f>Table1[[#This Row],[date]]-day_zero</f>
        <v>259</v>
      </c>
      <c r="C261" s="16">
        <f>WEEKDAY(Table1[[#This Row],[date]],2 )</f>
        <v>5</v>
      </c>
      <c r="D261" s="1">
        <v>15</v>
      </c>
      <c r="E261" s="1">
        <v>7.5</v>
      </c>
      <c r="F261" s="16">
        <f>IF(Table1[[#This Row],[weekday]]&lt;6,2,0)</f>
        <v>2</v>
      </c>
    </row>
    <row r="262" spans="1:6" x14ac:dyDescent="0.35">
      <c r="A262" s="14">
        <f t="shared" si="4"/>
        <v>42630</v>
      </c>
      <c r="B262" s="2">
        <f>Table1[[#This Row],[date]]-day_zero</f>
        <v>260</v>
      </c>
      <c r="C262" s="16">
        <f>WEEKDAY(Table1[[#This Row],[date]],2 )</f>
        <v>6</v>
      </c>
      <c r="D262" s="1">
        <v>15</v>
      </c>
      <c r="E262" s="1">
        <v>7.5</v>
      </c>
      <c r="F262" s="16">
        <f>IF(Table1[[#This Row],[weekday]]&lt;6,2,0)</f>
        <v>0</v>
      </c>
    </row>
    <row r="263" spans="1:6" x14ac:dyDescent="0.35">
      <c r="A263" s="14">
        <f t="shared" si="4"/>
        <v>42631</v>
      </c>
      <c r="B263" s="2">
        <f>Table1[[#This Row],[date]]-day_zero</f>
        <v>261</v>
      </c>
      <c r="C263" s="16">
        <f>WEEKDAY(Table1[[#This Row],[date]],2 )</f>
        <v>7</v>
      </c>
      <c r="D263" s="1">
        <v>15</v>
      </c>
      <c r="E263" s="1">
        <v>7.5</v>
      </c>
      <c r="F263" s="16">
        <f>IF(Table1[[#This Row],[weekday]]&lt;6,2,0)</f>
        <v>0</v>
      </c>
    </row>
    <row r="264" spans="1:6" x14ac:dyDescent="0.35">
      <c r="A264" s="14">
        <f t="shared" si="4"/>
        <v>42632</v>
      </c>
      <c r="B264" s="2">
        <f>Table1[[#This Row],[date]]-day_zero</f>
        <v>262</v>
      </c>
      <c r="C264" s="16">
        <f>WEEKDAY(Table1[[#This Row],[date]],2 )</f>
        <v>1</v>
      </c>
      <c r="D264" s="1">
        <v>15</v>
      </c>
      <c r="E264" s="1">
        <v>7.5</v>
      </c>
      <c r="F264" s="16">
        <f>IF(Table1[[#This Row],[weekday]]&lt;6,2,0)</f>
        <v>2</v>
      </c>
    </row>
    <row r="265" spans="1:6" x14ac:dyDescent="0.35">
      <c r="A265" s="14">
        <f t="shared" si="4"/>
        <v>42633</v>
      </c>
      <c r="B265" s="2">
        <f>Table1[[#This Row],[date]]-day_zero</f>
        <v>263</v>
      </c>
      <c r="C265" s="16">
        <f>WEEKDAY(Table1[[#This Row],[date]],2 )</f>
        <v>2</v>
      </c>
      <c r="D265" s="1">
        <v>15</v>
      </c>
      <c r="E265" s="1">
        <v>7.5</v>
      </c>
      <c r="F265" s="16">
        <f>IF(Table1[[#This Row],[weekday]]&lt;6,2,0)</f>
        <v>2</v>
      </c>
    </row>
    <row r="266" spans="1:6" x14ac:dyDescent="0.35">
      <c r="A266" s="14">
        <f t="shared" si="4"/>
        <v>42634</v>
      </c>
      <c r="B266" s="2">
        <f>Table1[[#This Row],[date]]-day_zero</f>
        <v>264</v>
      </c>
      <c r="C266" s="16">
        <f>WEEKDAY(Table1[[#This Row],[date]],2 )</f>
        <v>3</v>
      </c>
      <c r="D266" s="1">
        <v>15</v>
      </c>
      <c r="E266" s="1">
        <v>7.5</v>
      </c>
      <c r="F266" s="16">
        <f>IF(Table1[[#This Row],[weekday]]&lt;6,2,0)</f>
        <v>2</v>
      </c>
    </row>
    <row r="267" spans="1:6" x14ac:dyDescent="0.35">
      <c r="A267" s="14">
        <f t="shared" si="4"/>
        <v>42635</v>
      </c>
      <c r="B267" s="2">
        <f>Table1[[#This Row],[date]]-day_zero</f>
        <v>265</v>
      </c>
      <c r="C267" s="16">
        <f>WEEKDAY(Table1[[#This Row],[date]],2 )</f>
        <v>4</v>
      </c>
      <c r="D267" s="1">
        <v>15</v>
      </c>
      <c r="E267" s="1">
        <v>7.5</v>
      </c>
      <c r="F267" s="16">
        <f>IF(Table1[[#This Row],[weekday]]&lt;6,2,0)</f>
        <v>2</v>
      </c>
    </row>
    <row r="268" spans="1:6" x14ac:dyDescent="0.35">
      <c r="A268" s="14">
        <f t="shared" ref="A268:A331" si="5">A267+1</f>
        <v>42636</v>
      </c>
      <c r="B268" s="2">
        <f>Table1[[#This Row],[date]]-day_zero</f>
        <v>266</v>
      </c>
      <c r="C268" s="16">
        <f>WEEKDAY(Table1[[#This Row],[date]],2 )</f>
        <v>5</v>
      </c>
      <c r="D268" s="1">
        <v>15</v>
      </c>
      <c r="E268" s="1">
        <v>7.5</v>
      </c>
      <c r="F268" s="16">
        <f>IF(Table1[[#This Row],[weekday]]&lt;6,2,0)</f>
        <v>2</v>
      </c>
    </row>
    <row r="269" spans="1:6" x14ac:dyDescent="0.35">
      <c r="A269" s="14">
        <f t="shared" si="5"/>
        <v>42637</v>
      </c>
      <c r="B269" s="2">
        <f>Table1[[#This Row],[date]]-day_zero</f>
        <v>267</v>
      </c>
      <c r="C269" s="16">
        <f>WEEKDAY(Table1[[#This Row],[date]],2 )</f>
        <v>6</v>
      </c>
      <c r="D269" s="1">
        <v>15</v>
      </c>
      <c r="E269" s="1">
        <v>7.5</v>
      </c>
      <c r="F269" s="16">
        <f>IF(Table1[[#This Row],[weekday]]&lt;6,2,0)</f>
        <v>0</v>
      </c>
    </row>
    <row r="270" spans="1:6" x14ac:dyDescent="0.35">
      <c r="A270" s="14">
        <f t="shared" si="5"/>
        <v>42638</v>
      </c>
      <c r="B270" s="2">
        <f>Table1[[#This Row],[date]]-day_zero</f>
        <v>268</v>
      </c>
      <c r="C270" s="16">
        <f>WEEKDAY(Table1[[#This Row],[date]],2 )</f>
        <v>7</v>
      </c>
      <c r="D270" s="1">
        <v>15</v>
      </c>
      <c r="E270" s="1">
        <v>7.5</v>
      </c>
      <c r="F270" s="16">
        <f>IF(Table1[[#This Row],[weekday]]&lt;6,2,0)</f>
        <v>0</v>
      </c>
    </row>
    <row r="271" spans="1:6" x14ac:dyDescent="0.35">
      <c r="A271" s="14">
        <f t="shared" si="5"/>
        <v>42639</v>
      </c>
      <c r="B271" s="2">
        <f>Table1[[#This Row],[date]]-day_zero</f>
        <v>269</v>
      </c>
      <c r="C271" s="16">
        <f>WEEKDAY(Table1[[#This Row],[date]],2 )</f>
        <v>1</v>
      </c>
      <c r="D271" s="1">
        <v>15</v>
      </c>
      <c r="E271" s="1">
        <v>7.5</v>
      </c>
      <c r="F271" s="16">
        <f>IF(Table1[[#This Row],[weekday]]&lt;6,2,0)</f>
        <v>2</v>
      </c>
    </row>
    <row r="272" spans="1:6" x14ac:dyDescent="0.35">
      <c r="A272" s="14">
        <f t="shared" si="5"/>
        <v>42640</v>
      </c>
      <c r="B272" s="2">
        <f>Table1[[#This Row],[date]]-day_zero</f>
        <v>270</v>
      </c>
      <c r="C272" s="16">
        <f>WEEKDAY(Table1[[#This Row],[date]],2 )</f>
        <v>2</v>
      </c>
      <c r="D272" s="1">
        <v>15</v>
      </c>
      <c r="E272" s="1">
        <v>7.5</v>
      </c>
      <c r="F272" s="16">
        <f>IF(Table1[[#This Row],[weekday]]&lt;6,2,0)</f>
        <v>2</v>
      </c>
    </row>
    <row r="273" spans="1:6" x14ac:dyDescent="0.35">
      <c r="A273" s="14">
        <f t="shared" si="5"/>
        <v>42641</v>
      </c>
      <c r="B273" s="2">
        <f>Table1[[#This Row],[date]]-day_zero</f>
        <v>271</v>
      </c>
      <c r="C273" s="16">
        <f>WEEKDAY(Table1[[#This Row],[date]],2 )</f>
        <v>3</v>
      </c>
      <c r="D273" s="1">
        <v>15</v>
      </c>
      <c r="E273" s="1">
        <v>7.5</v>
      </c>
      <c r="F273" s="16">
        <f>IF(Table1[[#This Row],[weekday]]&lt;6,2,0)</f>
        <v>2</v>
      </c>
    </row>
    <row r="274" spans="1:6" x14ac:dyDescent="0.35">
      <c r="A274" s="14">
        <f t="shared" si="5"/>
        <v>42642</v>
      </c>
      <c r="B274" s="2">
        <f>Table1[[#This Row],[date]]-day_zero</f>
        <v>272</v>
      </c>
      <c r="C274" s="16">
        <f>WEEKDAY(Table1[[#This Row],[date]],2 )</f>
        <v>4</v>
      </c>
      <c r="D274" s="1">
        <v>15</v>
      </c>
      <c r="E274" s="1">
        <v>7.5</v>
      </c>
      <c r="F274" s="16">
        <f>IF(Table1[[#This Row],[weekday]]&lt;6,2,0)</f>
        <v>2</v>
      </c>
    </row>
    <row r="275" spans="1:6" x14ac:dyDescent="0.35">
      <c r="A275" s="14">
        <f t="shared" si="5"/>
        <v>42643</v>
      </c>
      <c r="B275" s="2">
        <f>Table1[[#This Row],[date]]-day_zero</f>
        <v>273</v>
      </c>
      <c r="C275" s="16">
        <f>WEEKDAY(Table1[[#This Row],[date]],2 )</f>
        <v>5</v>
      </c>
      <c r="D275" s="1">
        <v>15</v>
      </c>
      <c r="E275" s="1">
        <v>7.5</v>
      </c>
      <c r="F275" s="16">
        <f>IF(Table1[[#This Row],[weekday]]&lt;6,2,0)</f>
        <v>2</v>
      </c>
    </row>
    <row r="276" spans="1:6" x14ac:dyDescent="0.35">
      <c r="A276" s="14">
        <f t="shared" si="5"/>
        <v>42644</v>
      </c>
      <c r="B276" s="2">
        <f>Table1[[#This Row],[date]]-day_zero</f>
        <v>274</v>
      </c>
      <c r="C276" s="16">
        <f>WEEKDAY(Table1[[#This Row],[date]],2 )</f>
        <v>6</v>
      </c>
      <c r="D276" s="1">
        <v>15</v>
      </c>
      <c r="E276" s="1">
        <v>7.5</v>
      </c>
      <c r="F276" s="16">
        <f>IF(Table1[[#This Row],[weekday]]&lt;6,2,0)</f>
        <v>0</v>
      </c>
    </row>
    <row r="277" spans="1:6" x14ac:dyDescent="0.35">
      <c r="A277" s="14">
        <f t="shared" si="5"/>
        <v>42645</v>
      </c>
      <c r="B277" s="2">
        <f>Table1[[#This Row],[date]]-day_zero</f>
        <v>275</v>
      </c>
      <c r="C277" s="16">
        <f>WEEKDAY(Table1[[#This Row],[date]],2 )</f>
        <v>7</v>
      </c>
      <c r="D277" s="1">
        <v>15</v>
      </c>
      <c r="E277" s="1">
        <v>7.5</v>
      </c>
      <c r="F277" s="16">
        <f>IF(Table1[[#This Row],[weekday]]&lt;6,2,0)</f>
        <v>0</v>
      </c>
    </row>
    <row r="278" spans="1:6" x14ac:dyDescent="0.35">
      <c r="A278" s="14">
        <f t="shared" si="5"/>
        <v>42646</v>
      </c>
      <c r="B278" s="2">
        <f>Table1[[#This Row],[date]]-day_zero</f>
        <v>276</v>
      </c>
      <c r="C278" s="16">
        <f>WEEKDAY(Table1[[#This Row],[date]],2 )</f>
        <v>1</v>
      </c>
      <c r="D278" s="1">
        <v>15</v>
      </c>
      <c r="E278" s="1">
        <v>7.5</v>
      </c>
      <c r="F278" s="16">
        <f>IF(Table1[[#This Row],[weekday]]&lt;6,2,0)</f>
        <v>2</v>
      </c>
    </row>
    <row r="279" spans="1:6" x14ac:dyDescent="0.35">
      <c r="A279" s="14">
        <f t="shared" si="5"/>
        <v>42647</v>
      </c>
      <c r="B279" s="2">
        <f>Table1[[#This Row],[date]]-day_zero</f>
        <v>277</v>
      </c>
      <c r="C279" s="16">
        <f>WEEKDAY(Table1[[#This Row],[date]],2 )</f>
        <v>2</v>
      </c>
      <c r="D279" s="1">
        <v>15</v>
      </c>
      <c r="E279" s="1">
        <v>7.5</v>
      </c>
      <c r="F279" s="16">
        <f>IF(Table1[[#This Row],[weekday]]&lt;6,2,0)</f>
        <v>2</v>
      </c>
    </row>
    <row r="280" spans="1:6" x14ac:dyDescent="0.35">
      <c r="A280" s="14">
        <f t="shared" si="5"/>
        <v>42648</v>
      </c>
      <c r="B280" s="2">
        <f>Table1[[#This Row],[date]]-day_zero</f>
        <v>278</v>
      </c>
      <c r="C280" s="16">
        <f>WEEKDAY(Table1[[#This Row],[date]],2 )</f>
        <v>3</v>
      </c>
      <c r="D280" s="1">
        <v>15</v>
      </c>
      <c r="E280" s="1">
        <v>7.5</v>
      </c>
      <c r="F280" s="16">
        <f>IF(Table1[[#This Row],[weekday]]&lt;6,2,0)</f>
        <v>2</v>
      </c>
    </row>
    <row r="281" spans="1:6" x14ac:dyDescent="0.35">
      <c r="A281" s="14">
        <f t="shared" si="5"/>
        <v>42649</v>
      </c>
      <c r="B281" s="2">
        <f>Table1[[#This Row],[date]]-day_zero</f>
        <v>279</v>
      </c>
      <c r="C281" s="16">
        <f>WEEKDAY(Table1[[#This Row],[date]],2 )</f>
        <v>4</v>
      </c>
      <c r="D281" s="1">
        <v>15</v>
      </c>
      <c r="E281" s="1">
        <v>7.5</v>
      </c>
      <c r="F281" s="16">
        <f>IF(Table1[[#This Row],[weekday]]&lt;6,2,0)</f>
        <v>2</v>
      </c>
    </row>
    <row r="282" spans="1:6" x14ac:dyDescent="0.35">
      <c r="A282" s="14">
        <f t="shared" si="5"/>
        <v>42650</v>
      </c>
      <c r="B282" s="2">
        <f>Table1[[#This Row],[date]]-day_zero</f>
        <v>280</v>
      </c>
      <c r="C282" s="16">
        <f>WEEKDAY(Table1[[#This Row],[date]],2 )</f>
        <v>5</v>
      </c>
      <c r="D282" s="1">
        <v>15</v>
      </c>
      <c r="E282" s="1">
        <v>7.5</v>
      </c>
      <c r="F282" s="16">
        <f>IF(Table1[[#This Row],[weekday]]&lt;6,2,0)</f>
        <v>2</v>
      </c>
    </row>
    <row r="283" spans="1:6" x14ac:dyDescent="0.35">
      <c r="A283" s="14">
        <f t="shared" si="5"/>
        <v>42651</v>
      </c>
      <c r="B283" s="2">
        <f>Table1[[#This Row],[date]]-day_zero</f>
        <v>281</v>
      </c>
      <c r="C283" s="16">
        <f>WEEKDAY(Table1[[#This Row],[date]],2 )</f>
        <v>6</v>
      </c>
      <c r="D283" s="1">
        <v>15</v>
      </c>
      <c r="E283" s="1">
        <v>7.5</v>
      </c>
      <c r="F283" s="16">
        <f>IF(Table1[[#This Row],[weekday]]&lt;6,2,0)</f>
        <v>0</v>
      </c>
    </row>
    <row r="284" spans="1:6" x14ac:dyDescent="0.35">
      <c r="A284" s="14">
        <f t="shared" si="5"/>
        <v>42652</v>
      </c>
      <c r="B284" s="2">
        <f>Table1[[#This Row],[date]]-day_zero</f>
        <v>282</v>
      </c>
      <c r="C284" s="16">
        <f>WEEKDAY(Table1[[#This Row],[date]],2 )</f>
        <v>7</v>
      </c>
      <c r="D284" s="1">
        <v>15</v>
      </c>
      <c r="E284" s="1">
        <v>7.5</v>
      </c>
      <c r="F284" s="16">
        <f>IF(Table1[[#This Row],[weekday]]&lt;6,2,0)</f>
        <v>0</v>
      </c>
    </row>
    <row r="285" spans="1:6" x14ac:dyDescent="0.35">
      <c r="A285" s="14">
        <f t="shared" si="5"/>
        <v>42653</v>
      </c>
      <c r="B285" s="2">
        <f>Table1[[#This Row],[date]]-day_zero</f>
        <v>283</v>
      </c>
      <c r="C285" s="16">
        <f>WEEKDAY(Table1[[#This Row],[date]],2 )</f>
        <v>1</v>
      </c>
      <c r="D285" s="1">
        <v>15</v>
      </c>
      <c r="E285" s="1">
        <v>7.5</v>
      </c>
      <c r="F285" s="16">
        <f>IF(Table1[[#This Row],[weekday]]&lt;6,2,0)</f>
        <v>2</v>
      </c>
    </row>
    <row r="286" spans="1:6" x14ac:dyDescent="0.35">
      <c r="A286" s="14">
        <f t="shared" si="5"/>
        <v>42654</v>
      </c>
      <c r="B286" s="2">
        <f>Table1[[#This Row],[date]]-day_zero</f>
        <v>284</v>
      </c>
      <c r="C286" s="16">
        <f>WEEKDAY(Table1[[#This Row],[date]],2 )</f>
        <v>2</v>
      </c>
      <c r="D286" s="1">
        <v>15</v>
      </c>
      <c r="E286" s="1">
        <v>7.5</v>
      </c>
      <c r="F286" s="16">
        <f>IF(Table1[[#This Row],[weekday]]&lt;6,2,0)</f>
        <v>2</v>
      </c>
    </row>
    <row r="287" spans="1:6" x14ac:dyDescent="0.35">
      <c r="A287" s="14">
        <f t="shared" si="5"/>
        <v>42655</v>
      </c>
      <c r="B287" s="2">
        <f>Table1[[#This Row],[date]]-day_zero</f>
        <v>285</v>
      </c>
      <c r="C287" s="16">
        <f>WEEKDAY(Table1[[#This Row],[date]],2 )</f>
        <v>3</v>
      </c>
      <c r="D287" s="1">
        <v>15</v>
      </c>
      <c r="E287" s="1">
        <v>7.5</v>
      </c>
      <c r="F287" s="16">
        <f>IF(Table1[[#This Row],[weekday]]&lt;6,2,0)</f>
        <v>2</v>
      </c>
    </row>
    <row r="288" spans="1:6" x14ac:dyDescent="0.35">
      <c r="A288" s="14">
        <f t="shared" si="5"/>
        <v>42656</v>
      </c>
      <c r="B288" s="2">
        <f>Table1[[#This Row],[date]]-day_zero</f>
        <v>286</v>
      </c>
      <c r="C288" s="16">
        <f>WEEKDAY(Table1[[#This Row],[date]],2 )</f>
        <v>4</v>
      </c>
      <c r="D288" s="1">
        <v>15</v>
      </c>
      <c r="E288" s="1">
        <v>7.5</v>
      </c>
      <c r="F288" s="16">
        <f>IF(Table1[[#This Row],[weekday]]&lt;6,2,0)</f>
        <v>2</v>
      </c>
    </row>
    <row r="289" spans="1:6" x14ac:dyDescent="0.35">
      <c r="A289" s="14">
        <f t="shared" si="5"/>
        <v>42657</v>
      </c>
      <c r="B289" s="2">
        <f>Table1[[#This Row],[date]]-day_zero</f>
        <v>287</v>
      </c>
      <c r="C289" s="16">
        <f>WEEKDAY(Table1[[#This Row],[date]],2 )</f>
        <v>5</v>
      </c>
      <c r="D289" s="1">
        <v>15</v>
      </c>
      <c r="E289" s="1">
        <v>7.5</v>
      </c>
      <c r="F289" s="16">
        <f>IF(Table1[[#This Row],[weekday]]&lt;6,2,0)</f>
        <v>2</v>
      </c>
    </row>
    <row r="290" spans="1:6" x14ac:dyDescent="0.35">
      <c r="A290" s="14">
        <f t="shared" si="5"/>
        <v>42658</v>
      </c>
      <c r="B290" s="2">
        <f>Table1[[#This Row],[date]]-day_zero</f>
        <v>288</v>
      </c>
      <c r="C290" s="16">
        <f>WEEKDAY(Table1[[#This Row],[date]],2 )</f>
        <v>6</v>
      </c>
      <c r="D290" s="1">
        <v>15</v>
      </c>
      <c r="E290" s="1">
        <v>7.5</v>
      </c>
      <c r="F290" s="16">
        <f>IF(Table1[[#This Row],[weekday]]&lt;6,2,0)</f>
        <v>0</v>
      </c>
    </row>
    <row r="291" spans="1:6" x14ac:dyDescent="0.35">
      <c r="A291" s="14">
        <f t="shared" si="5"/>
        <v>42659</v>
      </c>
      <c r="B291" s="2">
        <f>Table1[[#This Row],[date]]-day_zero</f>
        <v>289</v>
      </c>
      <c r="C291" s="16">
        <f>WEEKDAY(Table1[[#This Row],[date]],2 )</f>
        <v>7</v>
      </c>
      <c r="D291" s="1">
        <v>15</v>
      </c>
      <c r="E291" s="1">
        <v>7.5</v>
      </c>
      <c r="F291" s="16">
        <f>IF(Table1[[#This Row],[weekday]]&lt;6,2,0)</f>
        <v>0</v>
      </c>
    </row>
    <row r="292" spans="1:6" x14ac:dyDescent="0.35">
      <c r="A292" s="14">
        <f t="shared" si="5"/>
        <v>42660</v>
      </c>
      <c r="B292" s="2">
        <f>Table1[[#This Row],[date]]-day_zero</f>
        <v>290</v>
      </c>
      <c r="C292" s="16">
        <f>WEEKDAY(Table1[[#This Row],[date]],2 )</f>
        <v>1</v>
      </c>
      <c r="D292" s="1">
        <v>15</v>
      </c>
      <c r="E292" s="1">
        <v>7.5</v>
      </c>
      <c r="F292" s="16">
        <f>IF(Table1[[#This Row],[weekday]]&lt;6,2,0)</f>
        <v>2</v>
      </c>
    </row>
    <row r="293" spans="1:6" x14ac:dyDescent="0.35">
      <c r="A293" s="14">
        <f t="shared" si="5"/>
        <v>42661</v>
      </c>
      <c r="B293" s="2">
        <f>Table1[[#This Row],[date]]-day_zero</f>
        <v>291</v>
      </c>
      <c r="C293" s="16">
        <f>WEEKDAY(Table1[[#This Row],[date]],2 )</f>
        <v>2</v>
      </c>
      <c r="D293" s="1">
        <v>15</v>
      </c>
      <c r="E293" s="1">
        <v>7.5</v>
      </c>
      <c r="F293" s="16">
        <f>IF(Table1[[#This Row],[weekday]]&lt;6,2,0)</f>
        <v>2</v>
      </c>
    </row>
    <row r="294" spans="1:6" x14ac:dyDescent="0.35">
      <c r="A294" s="14">
        <f t="shared" si="5"/>
        <v>42662</v>
      </c>
      <c r="B294" s="2">
        <f>Table1[[#This Row],[date]]-day_zero</f>
        <v>292</v>
      </c>
      <c r="C294" s="16">
        <f>WEEKDAY(Table1[[#This Row],[date]],2 )</f>
        <v>3</v>
      </c>
      <c r="D294" s="1">
        <v>15</v>
      </c>
      <c r="E294" s="1">
        <v>7.5</v>
      </c>
      <c r="F294" s="16">
        <f>IF(Table1[[#This Row],[weekday]]&lt;6,2,0)</f>
        <v>2</v>
      </c>
    </row>
    <row r="295" spans="1:6" x14ac:dyDescent="0.35">
      <c r="A295" s="14">
        <f t="shared" si="5"/>
        <v>42663</v>
      </c>
      <c r="B295" s="2">
        <f>Table1[[#This Row],[date]]-day_zero</f>
        <v>293</v>
      </c>
      <c r="C295" s="16">
        <f>WEEKDAY(Table1[[#This Row],[date]],2 )</f>
        <v>4</v>
      </c>
      <c r="D295" s="1">
        <v>15</v>
      </c>
      <c r="E295" s="1">
        <v>7.5</v>
      </c>
      <c r="F295" s="16">
        <f>IF(Table1[[#This Row],[weekday]]&lt;6,2,0)</f>
        <v>2</v>
      </c>
    </row>
    <row r="296" spans="1:6" x14ac:dyDescent="0.35">
      <c r="A296" s="14">
        <f t="shared" si="5"/>
        <v>42664</v>
      </c>
      <c r="B296" s="2">
        <f>Table1[[#This Row],[date]]-day_zero</f>
        <v>294</v>
      </c>
      <c r="C296" s="16">
        <f>WEEKDAY(Table1[[#This Row],[date]],2 )</f>
        <v>5</v>
      </c>
      <c r="D296" s="1">
        <v>15</v>
      </c>
      <c r="E296" s="1">
        <v>7.5</v>
      </c>
      <c r="F296" s="16">
        <f>IF(Table1[[#This Row],[weekday]]&lt;6,2,0)</f>
        <v>2</v>
      </c>
    </row>
    <row r="297" spans="1:6" x14ac:dyDescent="0.35">
      <c r="A297" s="14">
        <f t="shared" si="5"/>
        <v>42665</v>
      </c>
      <c r="B297" s="2">
        <f>Table1[[#This Row],[date]]-day_zero</f>
        <v>295</v>
      </c>
      <c r="C297" s="16">
        <f>WEEKDAY(Table1[[#This Row],[date]],2 )</f>
        <v>6</v>
      </c>
      <c r="D297" s="1">
        <v>15</v>
      </c>
      <c r="E297" s="1">
        <v>7.5</v>
      </c>
      <c r="F297" s="16">
        <f>IF(Table1[[#This Row],[weekday]]&lt;6,2,0)</f>
        <v>0</v>
      </c>
    </row>
    <row r="298" spans="1:6" x14ac:dyDescent="0.35">
      <c r="A298" s="14">
        <f t="shared" si="5"/>
        <v>42666</v>
      </c>
      <c r="B298" s="2">
        <f>Table1[[#This Row],[date]]-day_zero</f>
        <v>296</v>
      </c>
      <c r="C298" s="16">
        <f>WEEKDAY(Table1[[#This Row],[date]],2 )</f>
        <v>7</v>
      </c>
      <c r="D298" s="1">
        <v>15</v>
      </c>
      <c r="E298" s="1">
        <v>7.5</v>
      </c>
      <c r="F298" s="16">
        <f>IF(Table1[[#This Row],[weekday]]&lt;6,2,0)</f>
        <v>0</v>
      </c>
    </row>
    <row r="299" spans="1:6" x14ac:dyDescent="0.35">
      <c r="A299" s="14">
        <f t="shared" si="5"/>
        <v>42667</v>
      </c>
      <c r="B299" s="2">
        <f>Table1[[#This Row],[date]]-day_zero</f>
        <v>297</v>
      </c>
      <c r="C299" s="16">
        <f>WEEKDAY(Table1[[#This Row],[date]],2 )</f>
        <v>1</v>
      </c>
      <c r="D299" s="1">
        <v>15</v>
      </c>
      <c r="E299" s="1">
        <v>7.5</v>
      </c>
      <c r="F299" s="16">
        <f>IF(Table1[[#This Row],[weekday]]&lt;6,2,0)</f>
        <v>2</v>
      </c>
    </row>
    <row r="300" spans="1:6" x14ac:dyDescent="0.35">
      <c r="A300" s="14">
        <f t="shared" si="5"/>
        <v>42668</v>
      </c>
      <c r="B300" s="2">
        <f>Table1[[#This Row],[date]]-day_zero</f>
        <v>298</v>
      </c>
      <c r="C300" s="16">
        <f>WEEKDAY(Table1[[#This Row],[date]],2 )</f>
        <v>2</v>
      </c>
      <c r="D300" s="1">
        <v>15</v>
      </c>
      <c r="E300" s="1">
        <v>7.5</v>
      </c>
      <c r="F300" s="16">
        <f>IF(Table1[[#This Row],[weekday]]&lt;6,2,0)</f>
        <v>2</v>
      </c>
    </row>
    <row r="301" spans="1:6" x14ac:dyDescent="0.35">
      <c r="A301" s="14">
        <f t="shared" si="5"/>
        <v>42669</v>
      </c>
      <c r="B301" s="2">
        <f>Table1[[#This Row],[date]]-day_zero</f>
        <v>299</v>
      </c>
      <c r="C301" s="16">
        <f>WEEKDAY(Table1[[#This Row],[date]],2 )</f>
        <v>3</v>
      </c>
      <c r="D301" s="1">
        <v>15</v>
      </c>
      <c r="E301" s="1">
        <v>7.5</v>
      </c>
      <c r="F301" s="16">
        <f>IF(Table1[[#This Row],[weekday]]&lt;6,2,0)</f>
        <v>2</v>
      </c>
    </row>
    <row r="302" spans="1:6" x14ac:dyDescent="0.35">
      <c r="A302" s="14">
        <f t="shared" si="5"/>
        <v>42670</v>
      </c>
      <c r="B302" s="2">
        <f>Table1[[#This Row],[date]]-day_zero</f>
        <v>300</v>
      </c>
      <c r="C302" s="16">
        <f>WEEKDAY(Table1[[#This Row],[date]],2 )</f>
        <v>4</v>
      </c>
      <c r="D302" s="1">
        <v>15</v>
      </c>
      <c r="E302" s="1">
        <v>7.5</v>
      </c>
      <c r="F302" s="16">
        <f>IF(Table1[[#This Row],[weekday]]&lt;6,2,0)</f>
        <v>2</v>
      </c>
    </row>
    <row r="303" spans="1:6" x14ac:dyDescent="0.35">
      <c r="A303" s="14">
        <f t="shared" si="5"/>
        <v>42671</v>
      </c>
      <c r="B303" s="2">
        <f>Table1[[#This Row],[date]]-day_zero</f>
        <v>301</v>
      </c>
      <c r="C303" s="16">
        <f>WEEKDAY(Table1[[#This Row],[date]],2 )</f>
        <v>5</v>
      </c>
      <c r="D303" s="1">
        <v>15</v>
      </c>
      <c r="E303" s="1">
        <v>7.5</v>
      </c>
      <c r="F303" s="16">
        <f>IF(Table1[[#This Row],[weekday]]&lt;6,2,0)</f>
        <v>2</v>
      </c>
    </row>
    <row r="304" spans="1:6" x14ac:dyDescent="0.35">
      <c r="A304" s="14">
        <f t="shared" si="5"/>
        <v>42672</v>
      </c>
      <c r="B304" s="2">
        <f>Table1[[#This Row],[date]]-day_zero</f>
        <v>302</v>
      </c>
      <c r="C304" s="16">
        <f>WEEKDAY(Table1[[#This Row],[date]],2 )</f>
        <v>6</v>
      </c>
      <c r="D304" s="1">
        <v>15</v>
      </c>
      <c r="E304" s="1">
        <v>7.5</v>
      </c>
      <c r="F304" s="16">
        <f>IF(Table1[[#This Row],[weekday]]&lt;6,2,0)</f>
        <v>0</v>
      </c>
    </row>
    <row r="305" spans="1:6" x14ac:dyDescent="0.35">
      <c r="A305" s="14">
        <f t="shared" si="5"/>
        <v>42673</v>
      </c>
      <c r="B305" s="2">
        <f>Table1[[#This Row],[date]]-day_zero</f>
        <v>303</v>
      </c>
      <c r="C305" s="16">
        <f>WEEKDAY(Table1[[#This Row],[date]],2 )</f>
        <v>7</v>
      </c>
      <c r="D305" s="1">
        <v>15</v>
      </c>
      <c r="E305" s="1">
        <v>7.5</v>
      </c>
      <c r="F305" s="16">
        <f>IF(Table1[[#This Row],[weekday]]&lt;6,2,0)</f>
        <v>0</v>
      </c>
    </row>
    <row r="306" spans="1:6" x14ac:dyDescent="0.35">
      <c r="A306" s="14">
        <f t="shared" si="5"/>
        <v>42674</v>
      </c>
      <c r="B306" s="2">
        <f>Table1[[#This Row],[date]]-day_zero</f>
        <v>304</v>
      </c>
      <c r="C306" s="16">
        <f>WEEKDAY(Table1[[#This Row],[date]],2 )</f>
        <v>1</v>
      </c>
      <c r="D306" s="1">
        <v>15</v>
      </c>
      <c r="E306" s="1">
        <v>7.5</v>
      </c>
      <c r="F306" s="16">
        <f>IF(Table1[[#This Row],[weekday]]&lt;6,2,0)</f>
        <v>2</v>
      </c>
    </row>
    <row r="307" spans="1:6" x14ac:dyDescent="0.35">
      <c r="A307" s="14">
        <f t="shared" si="5"/>
        <v>42675</v>
      </c>
      <c r="B307" s="2">
        <f>Table1[[#This Row],[date]]-day_zero</f>
        <v>305</v>
      </c>
      <c r="C307" s="16">
        <f>WEEKDAY(Table1[[#This Row],[date]],2 )</f>
        <v>2</v>
      </c>
      <c r="D307" s="1">
        <v>15</v>
      </c>
      <c r="E307" s="1">
        <v>7.5</v>
      </c>
      <c r="F307" s="16">
        <f>IF(Table1[[#This Row],[weekday]]&lt;6,2,0)</f>
        <v>2</v>
      </c>
    </row>
    <row r="308" spans="1:6" x14ac:dyDescent="0.35">
      <c r="A308" s="14">
        <f t="shared" si="5"/>
        <v>42676</v>
      </c>
      <c r="B308" s="2">
        <f>Table1[[#This Row],[date]]-day_zero</f>
        <v>306</v>
      </c>
      <c r="C308" s="16">
        <f>WEEKDAY(Table1[[#This Row],[date]],2 )</f>
        <v>3</v>
      </c>
      <c r="D308" s="1">
        <v>15</v>
      </c>
      <c r="E308" s="1">
        <v>7.5</v>
      </c>
      <c r="F308" s="16">
        <f>IF(Table1[[#This Row],[weekday]]&lt;6,2,0)</f>
        <v>2</v>
      </c>
    </row>
    <row r="309" spans="1:6" x14ac:dyDescent="0.35">
      <c r="A309" s="14">
        <f t="shared" si="5"/>
        <v>42677</v>
      </c>
      <c r="B309" s="2">
        <f>Table1[[#This Row],[date]]-day_zero</f>
        <v>307</v>
      </c>
      <c r="C309" s="16">
        <f>WEEKDAY(Table1[[#This Row],[date]],2 )</f>
        <v>4</v>
      </c>
      <c r="D309" s="1">
        <v>15</v>
      </c>
      <c r="E309" s="1">
        <v>7.5</v>
      </c>
      <c r="F309" s="16">
        <f>IF(Table1[[#This Row],[weekday]]&lt;6,2,0)</f>
        <v>2</v>
      </c>
    </row>
    <row r="310" spans="1:6" x14ac:dyDescent="0.35">
      <c r="A310" s="14">
        <f t="shared" si="5"/>
        <v>42678</v>
      </c>
      <c r="B310" s="2">
        <f>Table1[[#This Row],[date]]-day_zero</f>
        <v>308</v>
      </c>
      <c r="C310" s="16">
        <f>WEEKDAY(Table1[[#This Row],[date]],2 )</f>
        <v>5</v>
      </c>
      <c r="D310" s="1">
        <v>15</v>
      </c>
      <c r="E310" s="1">
        <v>7.5</v>
      </c>
      <c r="F310" s="16">
        <f>IF(Table1[[#This Row],[weekday]]&lt;6,2,0)</f>
        <v>2</v>
      </c>
    </row>
    <row r="311" spans="1:6" x14ac:dyDescent="0.35">
      <c r="A311" s="14">
        <f t="shared" si="5"/>
        <v>42679</v>
      </c>
      <c r="B311" s="2">
        <f>Table1[[#This Row],[date]]-day_zero</f>
        <v>309</v>
      </c>
      <c r="C311" s="16">
        <f>WEEKDAY(Table1[[#This Row],[date]],2 )</f>
        <v>6</v>
      </c>
      <c r="D311" s="1">
        <v>15</v>
      </c>
      <c r="E311" s="1">
        <v>7.5</v>
      </c>
      <c r="F311" s="16">
        <f>IF(Table1[[#This Row],[weekday]]&lt;6,2,0)</f>
        <v>0</v>
      </c>
    </row>
    <row r="312" spans="1:6" x14ac:dyDescent="0.35">
      <c r="A312" s="14">
        <f t="shared" si="5"/>
        <v>42680</v>
      </c>
      <c r="B312" s="2">
        <f>Table1[[#This Row],[date]]-day_zero</f>
        <v>310</v>
      </c>
      <c r="C312" s="16">
        <f>WEEKDAY(Table1[[#This Row],[date]],2 )</f>
        <v>7</v>
      </c>
      <c r="D312" s="1">
        <v>15</v>
      </c>
      <c r="E312" s="1">
        <v>7.5</v>
      </c>
      <c r="F312" s="16">
        <f>IF(Table1[[#This Row],[weekday]]&lt;6,2,0)</f>
        <v>0</v>
      </c>
    </row>
    <row r="313" spans="1:6" x14ac:dyDescent="0.35">
      <c r="A313" s="14">
        <f t="shared" si="5"/>
        <v>42681</v>
      </c>
      <c r="B313" s="2">
        <f>Table1[[#This Row],[date]]-day_zero</f>
        <v>311</v>
      </c>
      <c r="C313" s="16">
        <f>WEEKDAY(Table1[[#This Row],[date]],2 )</f>
        <v>1</v>
      </c>
      <c r="D313" s="1">
        <v>15</v>
      </c>
      <c r="E313" s="1">
        <v>7.5</v>
      </c>
      <c r="F313" s="16">
        <f>IF(Table1[[#This Row],[weekday]]&lt;6,2,0)</f>
        <v>2</v>
      </c>
    </row>
    <row r="314" spans="1:6" x14ac:dyDescent="0.35">
      <c r="A314" s="14">
        <f t="shared" si="5"/>
        <v>42682</v>
      </c>
      <c r="B314" s="2">
        <f>Table1[[#This Row],[date]]-day_zero</f>
        <v>312</v>
      </c>
      <c r="C314" s="16">
        <f>WEEKDAY(Table1[[#This Row],[date]],2 )</f>
        <v>2</v>
      </c>
      <c r="D314" s="1">
        <v>15</v>
      </c>
      <c r="E314" s="1">
        <v>7.5</v>
      </c>
      <c r="F314" s="16">
        <f>IF(Table1[[#This Row],[weekday]]&lt;6,2,0)</f>
        <v>2</v>
      </c>
    </row>
    <row r="315" spans="1:6" x14ac:dyDescent="0.35">
      <c r="A315" s="14">
        <f t="shared" si="5"/>
        <v>42683</v>
      </c>
      <c r="B315" s="2">
        <f>Table1[[#This Row],[date]]-day_zero</f>
        <v>313</v>
      </c>
      <c r="C315" s="16">
        <f>WEEKDAY(Table1[[#This Row],[date]],2 )</f>
        <v>3</v>
      </c>
      <c r="D315" s="1">
        <v>15</v>
      </c>
      <c r="E315" s="1">
        <v>7.5</v>
      </c>
      <c r="F315" s="16">
        <f>IF(Table1[[#This Row],[weekday]]&lt;6,2,0)</f>
        <v>2</v>
      </c>
    </row>
    <row r="316" spans="1:6" x14ac:dyDescent="0.35">
      <c r="A316" s="14">
        <f t="shared" si="5"/>
        <v>42684</v>
      </c>
      <c r="B316" s="2">
        <f>Table1[[#This Row],[date]]-day_zero</f>
        <v>314</v>
      </c>
      <c r="C316" s="16">
        <f>WEEKDAY(Table1[[#This Row],[date]],2 )</f>
        <v>4</v>
      </c>
      <c r="D316" s="1">
        <v>15</v>
      </c>
      <c r="E316" s="1">
        <v>7.5</v>
      </c>
      <c r="F316" s="16">
        <f>IF(Table1[[#This Row],[weekday]]&lt;6,2,0)</f>
        <v>2</v>
      </c>
    </row>
    <row r="317" spans="1:6" x14ac:dyDescent="0.35">
      <c r="A317" s="14">
        <f t="shared" si="5"/>
        <v>42685</v>
      </c>
      <c r="B317" s="2">
        <f>Table1[[#This Row],[date]]-day_zero</f>
        <v>315</v>
      </c>
      <c r="C317" s="16">
        <f>WEEKDAY(Table1[[#This Row],[date]],2 )</f>
        <v>5</v>
      </c>
      <c r="D317" s="1">
        <v>15</v>
      </c>
      <c r="E317" s="1">
        <v>7.5</v>
      </c>
      <c r="F317" s="16">
        <f>IF(Table1[[#This Row],[weekday]]&lt;6,2,0)</f>
        <v>2</v>
      </c>
    </row>
    <row r="318" spans="1:6" x14ac:dyDescent="0.35">
      <c r="A318" s="14">
        <f t="shared" si="5"/>
        <v>42686</v>
      </c>
      <c r="B318" s="2">
        <f>Table1[[#This Row],[date]]-day_zero</f>
        <v>316</v>
      </c>
      <c r="C318" s="16">
        <f>WEEKDAY(Table1[[#This Row],[date]],2 )</f>
        <v>6</v>
      </c>
      <c r="D318" s="1">
        <v>15</v>
      </c>
      <c r="E318" s="1">
        <v>7.5</v>
      </c>
      <c r="F318" s="16">
        <f>IF(Table1[[#This Row],[weekday]]&lt;6,2,0)</f>
        <v>0</v>
      </c>
    </row>
    <row r="319" spans="1:6" x14ac:dyDescent="0.35">
      <c r="A319" s="14">
        <f t="shared" si="5"/>
        <v>42687</v>
      </c>
      <c r="B319" s="2">
        <f>Table1[[#This Row],[date]]-day_zero</f>
        <v>317</v>
      </c>
      <c r="C319" s="16">
        <f>WEEKDAY(Table1[[#This Row],[date]],2 )</f>
        <v>7</v>
      </c>
      <c r="D319" s="1">
        <v>15</v>
      </c>
      <c r="E319" s="1">
        <v>7.5</v>
      </c>
      <c r="F319" s="16">
        <f>IF(Table1[[#This Row],[weekday]]&lt;6,2,0)</f>
        <v>0</v>
      </c>
    </row>
    <row r="320" spans="1:6" x14ac:dyDescent="0.35">
      <c r="A320" s="14">
        <f t="shared" si="5"/>
        <v>42688</v>
      </c>
      <c r="B320" s="2">
        <f>Table1[[#This Row],[date]]-day_zero</f>
        <v>318</v>
      </c>
      <c r="C320" s="16">
        <f>WEEKDAY(Table1[[#This Row],[date]],2 )</f>
        <v>1</v>
      </c>
      <c r="D320" s="1">
        <v>15</v>
      </c>
      <c r="E320" s="1">
        <v>7.5</v>
      </c>
      <c r="F320" s="16">
        <f>IF(Table1[[#This Row],[weekday]]&lt;6,2,0)</f>
        <v>2</v>
      </c>
    </row>
    <row r="321" spans="1:6" x14ac:dyDescent="0.35">
      <c r="A321" s="14">
        <f t="shared" si="5"/>
        <v>42689</v>
      </c>
      <c r="B321" s="2">
        <f>Table1[[#This Row],[date]]-day_zero</f>
        <v>319</v>
      </c>
      <c r="C321" s="16">
        <f>WEEKDAY(Table1[[#This Row],[date]],2 )</f>
        <v>2</v>
      </c>
      <c r="D321" s="1">
        <v>15</v>
      </c>
      <c r="E321" s="1">
        <v>7.5</v>
      </c>
      <c r="F321" s="16">
        <f>IF(Table1[[#This Row],[weekday]]&lt;6,2,0)</f>
        <v>2</v>
      </c>
    </row>
    <row r="322" spans="1:6" x14ac:dyDescent="0.35">
      <c r="A322" s="14">
        <f t="shared" si="5"/>
        <v>42690</v>
      </c>
      <c r="B322" s="2">
        <f>Table1[[#This Row],[date]]-day_zero</f>
        <v>320</v>
      </c>
      <c r="C322" s="16">
        <f>WEEKDAY(Table1[[#This Row],[date]],2 )</f>
        <v>3</v>
      </c>
      <c r="D322" s="1">
        <v>15</v>
      </c>
      <c r="E322" s="1">
        <v>7.5</v>
      </c>
      <c r="F322" s="16">
        <f>IF(Table1[[#This Row],[weekday]]&lt;6,2,0)</f>
        <v>2</v>
      </c>
    </row>
    <row r="323" spans="1:6" x14ac:dyDescent="0.35">
      <c r="A323" s="14">
        <f t="shared" si="5"/>
        <v>42691</v>
      </c>
      <c r="B323" s="2">
        <f>Table1[[#This Row],[date]]-day_zero</f>
        <v>321</v>
      </c>
      <c r="C323" s="16">
        <f>WEEKDAY(Table1[[#This Row],[date]],2 )</f>
        <v>4</v>
      </c>
      <c r="D323" s="1">
        <v>15</v>
      </c>
      <c r="E323" s="1">
        <v>7.5</v>
      </c>
      <c r="F323" s="16">
        <f>IF(Table1[[#This Row],[weekday]]&lt;6,2,0)</f>
        <v>2</v>
      </c>
    </row>
    <row r="324" spans="1:6" x14ac:dyDescent="0.35">
      <c r="A324" s="14">
        <f t="shared" si="5"/>
        <v>42692</v>
      </c>
      <c r="B324" s="2">
        <f>Table1[[#This Row],[date]]-day_zero</f>
        <v>322</v>
      </c>
      <c r="C324" s="16">
        <f>WEEKDAY(Table1[[#This Row],[date]],2 )</f>
        <v>5</v>
      </c>
      <c r="D324" s="1">
        <v>15</v>
      </c>
      <c r="E324" s="1">
        <v>7.5</v>
      </c>
      <c r="F324" s="16">
        <f>IF(Table1[[#This Row],[weekday]]&lt;6,2,0)</f>
        <v>2</v>
      </c>
    </row>
    <row r="325" spans="1:6" x14ac:dyDescent="0.35">
      <c r="A325" s="14">
        <f t="shared" si="5"/>
        <v>42693</v>
      </c>
      <c r="B325" s="2">
        <f>Table1[[#This Row],[date]]-day_zero</f>
        <v>323</v>
      </c>
      <c r="C325" s="16">
        <f>WEEKDAY(Table1[[#This Row],[date]],2 )</f>
        <v>6</v>
      </c>
      <c r="D325" s="1">
        <v>15</v>
      </c>
      <c r="E325" s="1">
        <v>7.5</v>
      </c>
      <c r="F325" s="16">
        <f>IF(Table1[[#This Row],[weekday]]&lt;6,2,0)</f>
        <v>0</v>
      </c>
    </row>
    <row r="326" spans="1:6" x14ac:dyDescent="0.35">
      <c r="A326" s="14">
        <f t="shared" si="5"/>
        <v>42694</v>
      </c>
      <c r="B326" s="2">
        <f>Table1[[#This Row],[date]]-day_zero</f>
        <v>324</v>
      </c>
      <c r="C326" s="16">
        <f>WEEKDAY(Table1[[#This Row],[date]],2 )</f>
        <v>7</v>
      </c>
      <c r="D326" s="1">
        <v>15</v>
      </c>
      <c r="E326" s="1">
        <v>7.5</v>
      </c>
      <c r="F326" s="16">
        <f>IF(Table1[[#This Row],[weekday]]&lt;6,2,0)</f>
        <v>0</v>
      </c>
    </row>
    <row r="327" spans="1:6" x14ac:dyDescent="0.35">
      <c r="A327" s="14">
        <f t="shared" si="5"/>
        <v>42695</v>
      </c>
      <c r="B327" s="2">
        <f>Table1[[#This Row],[date]]-day_zero</f>
        <v>325</v>
      </c>
      <c r="C327" s="16">
        <f>WEEKDAY(Table1[[#This Row],[date]],2 )</f>
        <v>1</v>
      </c>
      <c r="D327" s="1">
        <v>15</v>
      </c>
      <c r="E327" s="1">
        <v>7.5</v>
      </c>
      <c r="F327" s="16">
        <f>IF(Table1[[#This Row],[weekday]]&lt;6,2,0)</f>
        <v>2</v>
      </c>
    </row>
    <row r="328" spans="1:6" x14ac:dyDescent="0.35">
      <c r="A328" s="14">
        <f t="shared" si="5"/>
        <v>42696</v>
      </c>
      <c r="B328" s="2">
        <f>Table1[[#This Row],[date]]-day_zero</f>
        <v>326</v>
      </c>
      <c r="C328" s="16">
        <f>WEEKDAY(Table1[[#This Row],[date]],2 )</f>
        <v>2</v>
      </c>
      <c r="D328" s="1">
        <v>15</v>
      </c>
      <c r="E328" s="1">
        <v>7.5</v>
      </c>
      <c r="F328" s="16">
        <f>IF(Table1[[#This Row],[weekday]]&lt;6,2,0)</f>
        <v>2</v>
      </c>
    </row>
    <row r="329" spans="1:6" x14ac:dyDescent="0.35">
      <c r="A329" s="14">
        <f t="shared" si="5"/>
        <v>42697</v>
      </c>
      <c r="B329" s="2">
        <f>Table1[[#This Row],[date]]-day_zero</f>
        <v>327</v>
      </c>
      <c r="C329" s="16">
        <f>WEEKDAY(Table1[[#This Row],[date]],2 )</f>
        <v>3</v>
      </c>
      <c r="D329" s="1">
        <v>15</v>
      </c>
      <c r="E329" s="1">
        <v>7.5</v>
      </c>
      <c r="F329" s="16">
        <f>IF(Table1[[#This Row],[weekday]]&lt;6,2,0)</f>
        <v>2</v>
      </c>
    </row>
    <row r="330" spans="1:6" x14ac:dyDescent="0.35">
      <c r="A330" s="14">
        <f t="shared" si="5"/>
        <v>42698</v>
      </c>
      <c r="B330" s="2">
        <f>Table1[[#This Row],[date]]-day_zero</f>
        <v>328</v>
      </c>
      <c r="C330" s="16">
        <f>WEEKDAY(Table1[[#This Row],[date]],2 )</f>
        <v>4</v>
      </c>
      <c r="D330" s="1">
        <v>15</v>
      </c>
      <c r="E330" s="1">
        <v>7.5</v>
      </c>
      <c r="F330" s="16">
        <f>IF(Table1[[#This Row],[weekday]]&lt;6,2,0)</f>
        <v>2</v>
      </c>
    </row>
    <row r="331" spans="1:6" x14ac:dyDescent="0.35">
      <c r="A331" s="14">
        <f t="shared" si="5"/>
        <v>42699</v>
      </c>
      <c r="B331" s="2">
        <f>Table1[[#This Row],[date]]-day_zero</f>
        <v>329</v>
      </c>
      <c r="C331" s="16">
        <f>WEEKDAY(Table1[[#This Row],[date]],2 )</f>
        <v>5</v>
      </c>
      <c r="D331" s="1">
        <v>15</v>
      </c>
      <c r="E331" s="1">
        <v>7.5</v>
      </c>
      <c r="F331" s="16">
        <f>IF(Table1[[#This Row],[weekday]]&lt;6,2,0)</f>
        <v>2</v>
      </c>
    </row>
    <row r="332" spans="1:6" x14ac:dyDescent="0.35">
      <c r="A332" s="14">
        <f t="shared" ref="A332:A395" si="6">A331+1</f>
        <v>42700</v>
      </c>
      <c r="B332" s="2">
        <f>Table1[[#This Row],[date]]-day_zero</f>
        <v>330</v>
      </c>
      <c r="C332" s="16">
        <f>WEEKDAY(Table1[[#This Row],[date]],2 )</f>
        <v>6</v>
      </c>
      <c r="D332" s="1">
        <v>15</v>
      </c>
      <c r="E332" s="1">
        <v>7.5</v>
      </c>
      <c r="F332" s="16">
        <f>IF(Table1[[#This Row],[weekday]]&lt;6,2,0)</f>
        <v>0</v>
      </c>
    </row>
    <row r="333" spans="1:6" x14ac:dyDescent="0.35">
      <c r="A333" s="14">
        <f t="shared" si="6"/>
        <v>42701</v>
      </c>
      <c r="B333" s="2">
        <f>Table1[[#This Row],[date]]-day_zero</f>
        <v>331</v>
      </c>
      <c r="C333" s="16">
        <f>WEEKDAY(Table1[[#This Row],[date]],2 )</f>
        <v>7</v>
      </c>
      <c r="D333" s="1">
        <v>15</v>
      </c>
      <c r="E333" s="1">
        <v>7.5</v>
      </c>
      <c r="F333" s="16">
        <f>IF(Table1[[#This Row],[weekday]]&lt;6,2,0)</f>
        <v>0</v>
      </c>
    </row>
    <row r="334" spans="1:6" x14ac:dyDescent="0.35">
      <c r="A334" s="14">
        <f t="shared" si="6"/>
        <v>42702</v>
      </c>
      <c r="B334" s="2">
        <f>Table1[[#This Row],[date]]-day_zero</f>
        <v>332</v>
      </c>
      <c r="C334" s="16">
        <f>WEEKDAY(Table1[[#This Row],[date]],2 )</f>
        <v>1</v>
      </c>
      <c r="D334" s="1">
        <v>15</v>
      </c>
      <c r="E334" s="1">
        <v>7.5</v>
      </c>
      <c r="F334" s="16">
        <f>IF(Table1[[#This Row],[weekday]]&lt;6,2,0)</f>
        <v>2</v>
      </c>
    </row>
    <row r="335" spans="1:6" x14ac:dyDescent="0.35">
      <c r="A335" s="14">
        <f t="shared" si="6"/>
        <v>42703</v>
      </c>
      <c r="B335" s="2">
        <f>Table1[[#This Row],[date]]-day_zero</f>
        <v>333</v>
      </c>
      <c r="C335" s="16">
        <f>WEEKDAY(Table1[[#This Row],[date]],2 )</f>
        <v>2</v>
      </c>
      <c r="D335" s="1">
        <v>15</v>
      </c>
      <c r="E335" s="1">
        <v>7.5</v>
      </c>
      <c r="F335" s="16">
        <f>IF(Table1[[#This Row],[weekday]]&lt;6,2,0)</f>
        <v>2</v>
      </c>
    </row>
    <row r="336" spans="1:6" x14ac:dyDescent="0.35">
      <c r="A336" s="14">
        <f t="shared" si="6"/>
        <v>42704</v>
      </c>
      <c r="B336" s="2">
        <f>Table1[[#This Row],[date]]-day_zero</f>
        <v>334</v>
      </c>
      <c r="C336" s="16">
        <f>WEEKDAY(Table1[[#This Row],[date]],2 )</f>
        <v>3</v>
      </c>
      <c r="D336" s="1">
        <v>15</v>
      </c>
      <c r="E336" s="1">
        <v>7.5</v>
      </c>
      <c r="F336" s="16">
        <f>IF(Table1[[#This Row],[weekday]]&lt;6,2,0)</f>
        <v>2</v>
      </c>
    </row>
    <row r="337" spans="1:6" x14ac:dyDescent="0.35">
      <c r="A337" s="14">
        <f t="shared" si="6"/>
        <v>42705</v>
      </c>
      <c r="B337" s="2">
        <f>Table1[[#This Row],[date]]-day_zero</f>
        <v>335</v>
      </c>
      <c r="C337" s="16">
        <f>WEEKDAY(Table1[[#This Row],[date]],2 )</f>
        <v>4</v>
      </c>
      <c r="D337" s="1">
        <v>15</v>
      </c>
      <c r="E337" s="1">
        <v>7.5</v>
      </c>
      <c r="F337" s="16">
        <f>IF(Table1[[#This Row],[weekday]]&lt;6,2,0)</f>
        <v>2</v>
      </c>
    </row>
    <row r="338" spans="1:6" x14ac:dyDescent="0.35">
      <c r="A338" s="14">
        <f t="shared" si="6"/>
        <v>42706</v>
      </c>
      <c r="B338" s="2">
        <f>Table1[[#This Row],[date]]-day_zero</f>
        <v>336</v>
      </c>
      <c r="C338" s="16">
        <f>WEEKDAY(Table1[[#This Row],[date]],2 )</f>
        <v>5</v>
      </c>
      <c r="D338" s="1">
        <v>15</v>
      </c>
      <c r="E338" s="1">
        <v>7.5</v>
      </c>
      <c r="F338" s="16">
        <f>IF(Table1[[#This Row],[weekday]]&lt;6,2,0)</f>
        <v>2</v>
      </c>
    </row>
    <row r="339" spans="1:6" x14ac:dyDescent="0.35">
      <c r="A339" s="14">
        <f t="shared" si="6"/>
        <v>42707</v>
      </c>
      <c r="B339" s="2">
        <f>Table1[[#This Row],[date]]-day_zero</f>
        <v>337</v>
      </c>
      <c r="C339" s="16">
        <f>WEEKDAY(Table1[[#This Row],[date]],2 )</f>
        <v>6</v>
      </c>
      <c r="D339" s="1">
        <v>15</v>
      </c>
      <c r="E339" s="1">
        <v>7.5</v>
      </c>
      <c r="F339" s="16">
        <f>IF(Table1[[#This Row],[weekday]]&lt;6,2,0)</f>
        <v>0</v>
      </c>
    </row>
    <row r="340" spans="1:6" x14ac:dyDescent="0.35">
      <c r="A340" s="14">
        <f t="shared" si="6"/>
        <v>42708</v>
      </c>
      <c r="B340" s="2">
        <f>Table1[[#This Row],[date]]-day_zero</f>
        <v>338</v>
      </c>
      <c r="C340" s="16">
        <f>WEEKDAY(Table1[[#This Row],[date]],2 )</f>
        <v>7</v>
      </c>
      <c r="D340" s="1">
        <v>15</v>
      </c>
      <c r="E340" s="1">
        <v>7.5</v>
      </c>
      <c r="F340" s="16">
        <f>IF(Table1[[#This Row],[weekday]]&lt;6,2,0)</f>
        <v>0</v>
      </c>
    </row>
    <row r="341" spans="1:6" x14ac:dyDescent="0.35">
      <c r="A341" s="14">
        <f t="shared" si="6"/>
        <v>42709</v>
      </c>
      <c r="B341" s="2">
        <f>Table1[[#This Row],[date]]-day_zero</f>
        <v>339</v>
      </c>
      <c r="C341" s="16">
        <f>WEEKDAY(Table1[[#This Row],[date]],2 )</f>
        <v>1</v>
      </c>
      <c r="D341" s="1">
        <v>15</v>
      </c>
      <c r="E341" s="1">
        <v>7.5</v>
      </c>
      <c r="F341" s="16">
        <f>IF(Table1[[#This Row],[weekday]]&lt;6,2,0)</f>
        <v>2</v>
      </c>
    </row>
    <row r="342" spans="1:6" x14ac:dyDescent="0.35">
      <c r="A342" s="14">
        <f t="shared" si="6"/>
        <v>42710</v>
      </c>
      <c r="B342" s="2">
        <f>Table1[[#This Row],[date]]-day_zero</f>
        <v>340</v>
      </c>
      <c r="C342" s="16">
        <f>WEEKDAY(Table1[[#This Row],[date]],2 )</f>
        <v>2</v>
      </c>
      <c r="D342" s="1">
        <v>15</v>
      </c>
      <c r="E342" s="1">
        <v>7.5</v>
      </c>
      <c r="F342" s="16">
        <f>IF(Table1[[#This Row],[weekday]]&lt;6,2,0)</f>
        <v>2</v>
      </c>
    </row>
    <row r="343" spans="1:6" x14ac:dyDescent="0.35">
      <c r="A343" s="14">
        <f t="shared" si="6"/>
        <v>42711</v>
      </c>
      <c r="B343" s="2">
        <f>Table1[[#This Row],[date]]-day_zero</f>
        <v>341</v>
      </c>
      <c r="C343" s="16">
        <f>WEEKDAY(Table1[[#This Row],[date]],2 )</f>
        <v>3</v>
      </c>
      <c r="D343" s="1">
        <v>15</v>
      </c>
      <c r="E343" s="1">
        <v>7.5</v>
      </c>
      <c r="F343" s="16">
        <f>IF(Table1[[#This Row],[weekday]]&lt;6,2,0)</f>
        <v>2</v>
      </c>
    </row>
    <row r="344" spans="1:6" x14ac:dyDescent="0.35">
      <c r="A344" s="14">
        <f t="shared" si="6"/>
        <v>42712</v>
      </c>
      <c r="B344" s="2">
        <f>Table1[[#This Row],[date]]-day_zero</f>
        <v>342</v>
      </c>
      <c r="C344" s="16">
        <f>WEEKDAY(Table1[[#This Row],[date]],2 )</f>
        <v>4</v>
      </c>
      <c r="D344" s="1">
        <v>15</v>
      </c>
      <c r="E344" s="1">
        <v>7.5</v>
      </c>
      <c r="F344" s="16">
        <f>IF(Table1[[#This Row],[weekday]]&lt;6,2,0)</f>
        <v>2</v>
      </c>
    </row>
    <row r="345" spans="1:6" x14ac:dyDescent="0.35">
      <c r="A345" s="14">
        <f t="shared" si="6"/>
        <v>42713</v>
      </c>
      <c r="B345" s="2">
        <f>Table1[[#This Row],[date]]-day_zero</f>
        <v>343</v>
      </c>
      <c r="C345" s="16">
        <f>WEEKDAY(Table1[[#This Row],[date]],2 )</f>
        <v>5</v>
      </c>
      <c r="D345" s="1">
        <v>15</v>
      </c>
      <c r="E345" s="1">
        <v>7.5</v>
      </c>
      <c r="F345" s="16">
        <f>IF(Table1[[#This Row],[weekday]]&lt;6,2,0)</f>
        <v>2</v>
      </c>
    </row>
    <row r="346" spans="1:6" x14ac:dyDescent="0.35">
      <c r="A346" s="14">
        <f t="shared" si="6"/>
        <v>42714</v>
      </c>
      <c r="B346" s="2">
        <f>Table1[[#This Row],[date]]-day_zero</f>
        <v>344</v>
      </c>
      <c r="C346" s="16">
        <f>WEEKDAY(Table1[[#This Row],[date]],2 )</f>
        <v>6</v>
      </c>
      <c r="D346" s="1">
        <v>15</v>
      </c>
      <c r="E346" s="1">
        <v>7.5</v>
      </c>
      <c r="F346" s="16">
        <f>IF(Table1[[#This Row],[weekday]]&lt;6,2,0)</f>
        <v>0</v>
      </c>
    </row>
    <row r="347" spans="1:6" x14ac:dyDescent="0.35">
      <c r="A347" s="14">
        <f t="shared" si="6"/>
        <v>42715</v>
      </c>
      <c r="B347" s="2">
        <f>Table1[[#This Row],[date]]-day_zero</f>
        <v>345</v>
      </c>
      <c r="C347" s="16">
        <f>WEEKDAY(Table1[[#This Row],[date]],2 )</f>
        <v>7</v>
      </c>
      <c r="D347" s="1">
        <v>15</v>
      </c>
      <c r="E347" s="1">
        <v>7.5</v>
      </c>
      <c r="F347" s="16">
        <f>IF(Table1[[#This Row],[weekday]]&lt;6,2,0)</f>
        <v>0</v>
      </c>
    </row>
    <row r="348" spans="1:6" x14ac:dyDescent="0.35">
      <c r="A348" s="14">
        <f t="shared" si="6"/>
        <v>42716</v>
      </c>
      <c r="B348" s="2">
        <f>Table1[[#This Row],[date]]-day_zero</f>
        <v>346</v>
      </c>
      <c r="C348" s="16">
        <f>WEEKDAY(Table1[[#This Row],[date]],2 )</f>
        <v>1</v>
      </c>
      <c r="D348" s="1">
        <v>15</v>
      </c>
      <c r="E348" s="1">
        <v>7.5</v>
      </c>
      <c r="F348" s="16">
        <f>IF(Table1[[#This Row],[weekday]]&lt;6,2,0)</f>
        <v>2</v>
      </c>
    </row>
    <row r="349" spans="1:6" x14ac:dyDescent="0.35">
      <c r="A349" s="14">
        <f t="shared" si="6"/>
        <v>42717</v>
      </c>
      <c r="B349" s="2">
        <f>Table1[[#This Row],[date]]-day_zero</f>
        <v>347</v>
      </c>
      <c r="C349" s="16">
        <f>WEEKDAY(Table1[[#This Row],[date]],2 )</f>
        <v>2</v>
      </c>
      <c r="D349" s="1">
        <v>15</v>
      </c>
      <c r="E349" s="1">
        <v>7.5</v>
      </c>
      <c r="F349" s="16">
        <f>IF(Table1[[#This Row],[weekday]]&lt;6,2,0)</f>
        <v>2</v>
      </c>
    </row>
    <row r="350" spans="1:6" x14ac:dyDescent="0.35">
      <c r="A350" s="14">
        <f t="shared" si="6"/>
        <v>42718</v>
      </c>
      <c r="B350" s="2">
        <f>Table1[[#This Row],[date]]-day_zero</f>
        <v>348</v>
      </c>
      <c r="C350" s="16">
        <f>WEEKDAY(Table1[[#This Row],[date]],2 )</f>
        <v>3</v>
      </c>
      <c r="D350" s="1">
        <v>15</v>
      </c>
      <c r="E350" s="1">
        <v>7.5</v>
      </c>
      <c r="F350" s="16">
        <f>IF(Table1[[#This Row],[weekday]]&lt;6,2,0)</f>
        <v>2</v>
      </c>
    </row>
    <row r="351" spans="1:6" x14ac:dyDescent="0.35">
      <c r="A351" s="14">
        <f t="shared" si="6"/>
        <v>42719</v>
      </c>
      <c r="B351" s="2">
        <f>Table1[[#This Row],[date]]-day_zero</f>
        <v>349</v>
      </c>
      <c r="C351" s="16">
        <f>WEEKDAY(Table1[[#This Row],[date]],2 )</f>
        <v>4</v>
      </c>
      <c r="D351" s="1">
        <v>15</v>
      </c>
      <c r="E351" s="1">
        <v>7.5</v>
      </c>
      <c r="F351" s="16">
        <f>IF(Table1[[#This Row],[weekday]]&lt;6,2,0)</f>
        <v>2</v>
      </c>
    </row>
    <row r="352" spans="1:6" x14ac:dyDescent="0.35">
      <c r="A352" s="14">
        <f t="shared" si="6"/>
        <v>42720</v>
      </c>
      <c r="B352" s="2">
        <f>Table1[[#This Row],[date]]-day_zero</f>
        <v>350</v>
      </c>
      <c r="C352" s="16">
        <f>WEEKDAY(Table1[[#This Row],[date]],2 )</f>
        <v>5</v>
      </c>
      <c r="D352" s="1">
        <v>15</v>
      </c>
      <c r="E352" s="1">
        <v>7.5</v>
      </c>
      <c r="F352" s="16">
        <f>IF(Table1[[#This Row],[weekday]]&lt;6,2,0)</f>
        <v>2</v>
      </c>
    </row>
    <row r="353" spans="1:6" x14ac:dyDescent="0.35">
      <c r="A353" s="14">
        <f t="shared" si="6"/>
        <v>42721</v>
      </c>
      <c r="B353" s="2">
        <f>Table1[[#This Row],[date]]-day_zero</f>
        <v>351</v>
      </c>
      <c r="C353" s="16">
        <f>WEEKDAY(Table1[[#This Row],[date]],2 )</f>
        <v>6</v>
      </c>
      <c r="D353" s="1">
        <v>15</v>
      </c>
      <c r="E353" s="1">
        <v>7.5</v>
      </c>
      <c r="F353" s="16">
        <f>IF(Table1[[#This Row],[weekday]]&lt;6,2,0)</f>
        <v>0</v>
      </c>
    </row>
    <row r="354" spans="1:6" x14ac:dyDescent="0.35">
      <c r="A354" s="14">
        <f t="shared" si="6"/>
        <v>42722</v>
      </c>
      <c r="B354" s="2">
        <f>Table1[[#This Row],[date]]-day_zero</f>
        <v>352</v>
      </c>
      <c r="C354" s="16">
        <f>WEEKDAY(Table1[[#This Row],[date]],2 )</f>
        <v>7</v>
      </c>
      <c r="D354" s="1">
        <v>15</v>
      </c>
      <c r="E354" s="1">
        <v>7.5</v>
      </c>
      <c r="F354" s="16">
        <f>IF(Table1[[#This Row],[weekday]]&lt;6,2,0)</f>
        <v>0</v>
      </c>
    </row>
    <row r="355" spans="1:6" x14ac:dyDescent="0.35">
      <c r="A355" s="14">
        <f t="shared" si="6"/>
        <v>42723</v>
      </c>
      <c r="B355" s="2">
        <f>Table1[[#This Row],[date]]-day_zero</f>
        <v>353</v>
      </c>
      <c r="C355" s="16">
        <f>WEEKDAY(Table1[[#This Row],[date]],2 )</f>
        <v>1</v>
      </c>
      <c r="D355" s="1">
        <v>15</v>
      </c>
      <c r="E355" s="1">
        <v>7.5</v>
      </c>
      <c r="F355" s="16">
        <f>IF(Table1[[#This Row],[weekday]]&lt;6,2,0)</f>
        <v>2</v>
      </c>
    </row>
    <row r="356" spans="1:6" x14ac:dyDescent="0.35">
      <c r="A356" s="14">
        <f t="shared" si="6"/>
        <v>42724</v>
      </c>
      <c r="B356" s="2">
        <f>Table1[[#This Row],[date]]-day_zero</f>
        <v>354</v>
      </c>
      <c r="C356" s="16">
        <f>WEEKDAY(Table1[[#This Row],[date]],2 )</f>
        <v>2</v>
      </c>
      <c r="D356" s="1">
        <v>15</v>
      </c>
      <c r="E356" s="1">
        <v>7.5</v>
      </c>
      <c r="F356" s="16">
        <f>IF(Table1[[#This Row],[weekday]]&lt;6,2,0)</f>
        <v>2</v>
      </c>
    </row>
    <row r="357" spans="1:6" x14ac:dyDescent="0.35">
      <c r="A357" s="14">
        <f t="shared" si="6"/>
        <v>42725</v>
      </c>
      <c r="B357" s="2">
        <f>Table1[[#This Row],[date]]-day_zero</f>
        <v>355</v>
      </c>
      <c r="C357" s="16">
        <f>WEEKDAY(Table1[[#This Row],[date]],2 )</f>
        <v>3</v>
      </c>
      <c r="D357" s="1">
        <v>15</v>
      </c>
      <c r="E357" s="1">
        <v>7.5</v>
      </c>
      <c r="F357" s="16">
        <f>IF(Table1[[#This Row],[weekday]]&lt;6,2,0)</f>
        <v>2</v>
      </c>
    </row>
    <row r="358" spans="1:6" x14ac:dyDescent="0.35">
      <c r="A358" s="14">
        <f t="shared" si="6"/>
        <v>42726</v>
      </c>
      <c r="B358" s="2">
        <f>Table1[[#This Row],[date]]-day_zero</f>
        <v>356</v>
      </c>
      <c r="C358" s="16">
        <f>WEEKDAY(Table1[[#This Row],[date]],2 )</f>
        <v>4</v>
      </c>
      <c r="D358" s="1">
        <v>15</v>
      </c>
      <c r="E358" s="1">
        <v>7.5</v>
      </c>
      <c r="F358" s="16">
        <f>IF(Table1[[#This Row],[weekday]]&lt;6,2,0)</f>
        <v>2</v>
      </c>
    </row>
    <row r="359" spans="1:6" x14ac:dyDescent="0.35">
      <c r="A359" s="14">
        <f t="shared" si="6"/>
        <v>42727</v>
      </c>
      <c r="B359" s="2">
        <f>Table1[[#This Row],[date]]-day_zero</f>
        <v>357</v>
      </c>
      <c r="C359" s="16">
        <f>WEEKDAY(Table1[[#This Row],[date]],2 )</f>
        <v>5</v>
      </c>
      <c r="D359" s="1">
        <v>15</v>
      </c>
      <c r="E359" s="1">
        <v>7.5</v>
      </c>
      <c r="F359" s="16">
        <f>IF(Table1[[#This Row],[weekday]]&lt;6,2,0)</f>
        <v>2</v>
      </c>
    </row>
    <row r="360" spans="1:6" x14ac:dyDescent="0.35">
      <c r="A360" s="14">
        <f t="shared" si="6"/>
        <v>42728</v>
      </c>
      <c r="B360" s="2">
        <f>Table1[[#This Row],[date]]-day_zero</f>
        <v>358</v>
      </c>
      <c r="C360" s="16">
        <f>WEEKDAY(Table1[[#This Row],[date]],2 )</f>
        <v>6</v>
      </c>
      <c r="D360" s="1">
        <v>15</v>
      </c>
      <c r="E360" s="1">
        <v>7.5</v>
      </c>
      <c r="F360" s="16">
        <f>IF(Table1[[#This Row],[weekday]]&lt;6,2,0)</f>
        <v>0</v>
      </c>
    </row>
    <row r="361" spans="1:6" x14ac:dyDescent="0.35">
      <c r="A361" s="14">
        <f t="shared" si="6"/>
        <v>42729</v>
      </c>
      <c r="B361" s="2">
        <f>Table1[[#This Row],[date]]-day_zero</f>
        <v>359</v>
      </c>
      <c r="C361" s="16">
        <f>WEEKDAY(Table1[[#This Row],[date]],2 )</f>
        <v>7</v>
      </c>
      <c r="D361" s="1">
        <v>15</v>
      </c>
      <c r="E361" s="1">
        <v>7.5</v>
      </c>
      <c r="F361" s="16">
        <f>IF(Table1[[#This Row],[weekday]]&lt;6,2,0)</f>
        <v>0</v>
      </c>
    </row>
    <row r="362" spans="1:6" x14ac:dyDescent="0.35">
      <c r="A362" s="14">
        <f t="shared" si="6"/>
        <v>42730</v>
      </c>
      <c r="B362" s="2">
        <f>Table1[[#This Row],[date]]-day_zero</f>
        <v>360</v>
      </c>
      <c r="C362" s="16">
        <f>WEEKDAY(Table1[[#This Row],[date]],2 )</f>
        <v>1</v>
      </c>
      <c r="D362" s="1">
        <v>15</v>
      </c>
      <c r="E362" s="1">
        <v>7.5</v>
      </c>
      <c r="F362" s="16">
        <f>IF(Table1[[#This Row],[weekday]]&lt;6,2,0)</f>
        <v>2</v>
      </c>
    </row>
    <row r="363" spans="1:6" x14ac:dyDescent="0.35">
      <c r="A363" s="14">
        <f t="shared" si="6"/>
        <v>42731</v>
      </c>
      <c r="B363" s="2">
        <f>Table1[[#This Row],[date]]-day_zero</f>
        <v>361</v>
      </c>
      <c r="C363" s="16">
        <f>WEEKDAY(Table1[[#This Row],[date]],2 )</f>
        <v>2</v>
      </c>
      <c r="D363" s="1">
        <v>15</v>
      </c>
      <c r="E363" s="1">
        <v>7.5</v>
      </c>
      <c r="F363" s="16">
        <f>IF(Table1[[#This Row],[weekday]]&lt;6,2,0)</f>
        <v>2</v>
      </c>
    </row>
    <row r="364" spans="1:6" x14ac:dyDescent="0.35">
      <c r="A364" s="14">
        <f t="shared" si="6"/>
        <v>42732</v>
      </c>
      <c r="B364" s="2">
        <f>Table1[[#This Row],[date]]-day_zero</f>
        <v>362</v>
      </c>
      <c r="C364" s="16">
        <f>WEEKDAY(Table1[[#This Row],[date]],2 )</f>
        <v>3</v>
      </c>
      <c r="D364" s="1">
        <v>15</v>
      </c>
      <c r="E364" s="1">
        <v>7.5</v>
      </c>
      <c r="F364" s="16">
        <f>IF(Table1[[#This Row],[weekday]]&lt;6,2,0)</f>
        <v>2</v>
      </c>
    </row>
    <row r="365" spans="1:6" x14ac:dyDescent="0.35">
      <c r="A365" s="14">
        <f t="shared" si="6"/>
        <v>42733</v>
      </c>
      <c r="B365" s="2">
        <f>Table1[[#This Row],[date]]-day_zero</f>
        <v>363</v>
      </c>
      <c r="C365" s="16">
        <f>WEEKDAY(Table1[[#This Row],[date]],2 )</f>
        <v>4</v>
      </c>
      <c r="D365" s="1">
        <v>15</v>
      </c>
      <c r="E365" s="1">
        <v>7.5</v>
      </c>
      <c r="F365" s="16">
        <f>IF(Table1[[#This Row],[weekday]]&lt;6,2,0)</f>
        <v>2</v>
      </c>
    </row>
    <row r="366" spans="1:6" x14ac:dyDescent="0.35">
      <c r="A366" s="14">
        <f t="shared" si="6"/>
        <v>42734</v>
      </c>
      <c r="B366" s="2">
        <f>Table1[[#This Row],[date]]-day_zero</f>
        <v>364</v>
      </c>
      <c r="C366" s="16">
        <f>WEEKDAY(Table1[[#This Row],[date]],2 )</f>
        <v>5</v>
      </c>
      <c r="D366" s="1">
        <v>15</v>
      </c>
      <c r="E366" s="1">
        <v>7.5</v>
      </c>
      <c r="F366" s="16">
        <f>IF(Table1[[#This Row],[weekday]]&lt;6,2,0)</f>
        <v>2</v>
      </c>
    </row>
    <row r="367" spans="1:6" x14ac:dyDescent="0.35">
      <c r="A367" s="14">
        <f t="shared" si="6"/>
        <v>42735</v>
      </c>
      <c r="B367" s="2">
        <f>Table1[[#This Row],[date]]-day_zero</f>
        <v>365</v>
      </c>
      <c r="C367" s="16">
        <f>WEEKDAY(Table1[[#This Row],[date]],2 )</f>
        <v>6</v>
      </c>
      <c r="D367" s="1">
        <v>15</v>
      </c>
      <c r="E367" s="1">
        <v>7.5</v>
      </c>
      <c r="F367" s="16">
        <f>IF(Table1[[#This Row],[weekday]]&lt;6,2,0)</f>
        <v>0</v>
      </c>
    </row>
    <row r="368" spans="1:6" x14ac:dyDescent="0.35">
      <c r="A368" s="14">
        <f t="shared" si="6"/>
        <v>42736</v>
      </c>
      <c r="B368" s="2">
        <f>Table1[[#This Row],[date]]-day_zero</f>
        <v>366</v>
      </c>
      <c r="C368" s="16">
        <f>WEEKDAY(Table1[[#This Row],[date]],2 )</f>
        <v>7</v>
      </c>
      <c r="D368" s="1">
        <v>15</v>
      </c>
      <c r="E368" s="1">
        <v>7.5</v>
      </c>
      <c r="F368" s="16">
        <f>IF(Table1[[#This Row],[weekday]]&lt;6,2,0)</f>
        <v>0</v>
      </c>
    </row>
    <row r="369" spans="1:6" x14ac:dyDescent="0.35">
      <c r="A369" s="14">
        <f t="shared" si="6"/>
        <v>42737</v>
      </c>
      <c r="B369" s="2">
        <f>Table1[[#This Row],[date]]-day_zero</f>
        <v>367</v>
      </c>
      <c r="C369" s="16">
        <f>WEEKDAY(Table1[[#This Row],[date]],2 )</f>
        <v>1</v>
      </c>
      <c r="D369" s="1">
        <v>15</v>
      </c>
      <c r="E369" s="1">
        <v>7.5</v>
      </c>
      <c r="F369" s="16">
        <f>IF(Table1[[#This Row],[weekday]]&lt;6,2,0)</f>
        <v>2</v>
      </c>
    </row>
    <row r="370" spans="1:6" x14ac:dyDescent="0.35">
      <c r="A370" s="14">
        <f t="shared" si="6"/>
        <v>42738</v>
      </c>
      <c r="B370" s="2">
        <f>Table1[[#This Row],[date]]-day_zero</f>
        <v>368</v>
      </c>
      <c r="C370" s="16">
        <f>WEEKDAY(Table1[[#This Row],[date]],2 )</f>
        <v>2</v>
      </c>
      <c r="D370" s="1">
        <v>15</v>
      </c>
      <c r="E370" s="1">
        <v>7.5</v>
      </c>
      <c r="F370" s="16">
        <f>IF(Table1[[#This Row],[weekday]]&lt;6,2,0)</f>
        <v>2</v>
      </c>
    </row>
    <row r="371" spans="1:6" x14ac:dyDescent="0.35">
      <c r="A371" s="14">
        <f t="shared" si="6"/>
        <v>42739</v>
      </c>
      <c r="B371" s="2">
        <f>Table1[[#This Row],[date]]-day_zero</f>
        <v>369</v>
      </c>
      <c r="C371" s="16">
        <f>WEEKDAY(Table1[[#This Row],[date]],2 )</f>
        <v>3</v>
      </c>
      <c r="D371" s="1">
        <v>15</v>
      </c>
      <c r="E371" s="1">
        <v>7.5</v>
      </c>
      <c r="F371" s="16">
        <f>IF(Table1[[#This Row],[weekday]]&lt;6,2,0)</f>
        <v>2</v>
      </c>
    </row>
    <row r="372" spans="1:6" x14ac:dyDescent="0.35">
      <c r="A372" s="14">
        <f t="shared" si="6"/>
        <v>42740</v>
      </c>
      <c r="B372" s="2">
        <f>Table1[[#This Row],[date]]-day_zero</f>
        <v>370</v>
      </c>
      <c r="C372" s="16">
        <f>WEEKDAY(Table1[[#This Row],[date]],2 )</f>
        <v>4</v>
      </c>
      <c r="D372" s="1">
        <v>15</v>
      </c>
      <c r="E372" s="1">
        <v>7.5</v>
      </c>
      <c r="F372" s="16">
        <f>IF(Table1[[#This Row],[weekday]]&lt;6,2,0)</f>
        <v>2</v>
      </c>
    </row>
    <row r="373" spans="1:6" x14ac:dyDescent="0.35">
      <c r="A373" s="14">
        <f t="shared" si="6"/>
        <v>42741</v>
      </c>
      <c r="B373" s="2">
        <f>Table1[[#This Row],[date]]-day_zero</f>
        <v>371</v>
      </c>
      <c r="C373" s="16">
        <f>WEEKDAY(Table1[[#This Row],[date]],2 )</f>
        <v>5</v>
      </c>
      <c r="D373" s="1">
        <v>15</v>
      </c>
      <c r="E373" s="1">
        <v>7.5</v>
      </c>
      <c r="F373" s="16">
        <f>IF(Table1[[#This Row],[weekday]]&lt;6,2,0)</f>
        <v>2</v>
      </c>
    </row>
    <row r="374" spans="1:6" x14ac:dyDescent="0.35">
      <c r="A374" s="14">
        <f t="shared" si="6"/>
        <v>42742</v>
      </c>
      <c r="B374" s="2">
        <f>Table1[[#This Row],[date]]-day_zero</f>
        <v>372</v>
      </c>
      <c r="C374" s="16">
        <f>WEEKDAY(Table1[[#This Row],[date]],2 )</f>
        <v>6</v>
      </c>
      <c r="D374" s="1">
        <v>15</v>
      </c>
      <c r="E374" s="1">
        <v>7.5</v>
      </c>
      <c r="F374" s="16">
        <f>IF(Table1[[#This Row],[weekday]]&lt;6,2,0)</f>
        <v>0</v>
      </c>
    </row>
    <row r="375" spans="1:6" x14ac:dyDescent="0.35">
      <c r="A375" s="14">
        <f t="shared" si="6"/>
        <v>42743</v>
      </c>
      <c r="B375" s="2">
        <f>Table1[[#This Row],[date]]-day_zero</f>
        <v>373</v>
      </c>
      <c r="C375" s="16">
        <f>WEEKDAY(Table1[[#This Row],[date]],2 )</f>
        <v>7</v>
      </c>
      <c r="D375" s="1">
        <v>15</v>
      </c>
      <c r="E375" s="1">
        <v>7.5</v>
      </c>
      <c r="F375" s="16">
        <f>IF(Table1[[#This Row],[weekday]]&lt;6,2,0)</f>
        <v>0</v>
      </c>
    </row>
    <row r="376" spans="1:6" x14ac:dyDescent="0.35">
      <c r="A376" s="14">
        <f t="shared" si="6"/>
        <v>42744</v>
      </c>
      <c r="B376" s="2">
        <f>Table1[[#This Row],[date]]-day_zero</f>
        <v>374</v>
      </c>
      <c r="C376" s="16">
        <f>WEEKDAY(Table1[[#This Row],[date]],2 )</f>
        <v>1</v>
      </c>
      <c r="D376" s="1">
        <v>15</v>
      </c>
      <c r="E376" s="1">
        <v>7.5</v>
      </c>
      <c r="F376" s="16">
        <f>IF(Table1[[#This Row],[weekday]]&lt;6,2,0)</f>
        <v>2</v>
      </c>
    </row>
    <row r="377" spans="1:6" x14ac:dyDescent="0.35">
      <c r="A377" s="14">
        <f t="shared" si="6"/>
        <v>42745</v>
      </c>
      <c r="B377" s="2">
        <f>Table1[[#This Row],[date]]-day_zero</f>
        <v>375</v>
      </c>
      <c r="C377" s="16">
        <f>WEEKDAY(Table1[[#This Row],[date]],2 )</f>
        <v>2</v>
      </c>
      <c r="D377" s="1">
        <v>15</v>
      </c>
      <c r="E377" s="1">
        <v>7.5</v>
      </c>
      <c r="F377" s="16">
        <f>IF(Table1[[#This Row],[weekday]]&lt;6,2,0)</f>
        <v>2</v>
      </c>
    </row>
    <row r="378" spans="1:6" x14ac:dyDescent="0.35">
      <c r="A378" s="14">
        <f t="shared" si="6"/>
        <v>42746</v>
      </c>
      <c r="B378" s="2">
        <f>Table1[[#This Row],[date]]-day_zero</f>
        <v>376</v>
      </c>
      <c r="C378" s="16">
        <f>WEEKDAY(Table1[[#This Row],[date]],2 )</f>
        <v>3</v>
      </c>
      <c r="D378" s="1">
        <v>15</v>
      </c>
      <c r="E378" s="1">
        <v>7.5</v>
      </c>
      <c r="F378" s="16">
        <f>IF(Table1[[#This Row],[weekday]]&lt;6,2,0)</f>
        <v>2</v>
      </c>
    </row>
    <row r="379" spans="1:6" x14ac:dyDescent="0.35">
      <c r="A379" s="14">
        <f t="shared" si="6"/>
        <v>42747</v>
      </c>
      <c r="B379" s="2">
        <f>Table1[[#This Row],[date]]-day_zero</f>
        <v>377</v>
      </c>
      <c r="C379" s="16">
        <f>WEEKDAY(Table1[[#This Row],[date]],2 )</f>
        <v>4</v>
      </c>
      <c r="D379" s="1">
        <v>15</v>
      </c>
      <c r="E379" s="1">
        <v>7.5</v>
      </c>
      <c r="F379" s="16">
        <f>IF(Table1[[#This Row],[weekday]]&lt;6,2,0)</f>
        <v>2</v>
      </c>
    </row>
    <row r="380" spans="1:6" x14ac:dyDescent="0.35">
      <c r="A380" s="14">
        <f t="shared" si="6"/>
        <v>42748</v>
      </c>
      <c r="B380" s="2">
        <f>Table1[[#This Row],[date]]-day_zero</f>
        <v>378</v>
      </c>
      <c r="C380" s="16">
        <f>WEEKDAY(Table1[[#This Row],[date]],2 )</f>
        <v>5</v>
      </c>
      <c r="D380" s="1">
        <v>15</v>
      </c>
      <c r="E380" s="1">
        <v>7.5</v>
      </c>
      <c r="F380" s="16">
        <f>IF(Table1[[#This Row],[weekday]]&lt;6,2,0)</f>
        <v>2</v>
      </c>
    </row>
    <row r="381" spans="1:6" x14ac:dyDescent="0.35">
      <c r="A381" s="14">
        <f t="shared" si="6"/>
        <v>42749</v>
      </c>
      <c r="B381" s="2">
        <f>Table1[[#This Row],[date]]-day_zero</f>
        <v>379</v>
      </c>
      <c r="C381" s="16">
        <f>WEEKDAY(Table1[[#This Row],[date]],2 )</f>
        <v>6</v>
      </c>
      <c r="D381" s="1">
        <v>15</v>
      </c>
      <c r="E381" s="1">
        <v>7.5</v>
      </c>
      <c r="F381" s="16">
        <f>IF(Table1[[#This Row],[weekday]]&lt;6,2,0)</f>
        <v>0</v>
      </c>
    </row>
    <row r="382" spans="1:6" x14ac:dyDescent="0.35">
      <c r="A382" s="14">
        <f t="shared" si="6"/>
        <v>42750</v>
      </c>
      <c r="B382" s="2">
        <f>Table1[[#This Row],[date]]-day_zero</f>
        <v>380</v>
      </c>
      <c r="C382" s="16">
        <f>WEEKDAY(Table1[[#This Row],[date]],2 )</f>
        <v>7</v>
      </c>
      <c r="D382" s="1">
        <v>15</v>
      </c>
      <c r="E382" s="1">
        <v>7.5</v>
      </c>
      <c r="F382" s="16">
        <f>IF(Table1[[#This Row],[weekday]]&lt;6,2,0)</f>
        <v>0</v>
      </c>
    </row>
    <row r="383" spans="1:6" x14ac:dyDescent="0.35">
      <c r="A383" s="14">
        <f t="shared" si="6"/>
        <v>42751</v>
      </c>
      <c r="B383" s="2">
        <f>Table1[[#This Row],[date]]-day_zero</f>
        <v>381</v>
      </c>
      <c r="C383" s="16">
        <f>WEEKDAY(Table1[[#This Row],[date]],2 )</f>
        <v>1</v>
      </c>
      <c r="D383" s="1">
        <v>15</v>
      </c>
      <c r="E383" s="1">
        <v>7.5</v>
      </c>
      <c r="F383" s="16">
        <f>IF(Table1[[#This Row],[weekday]]&lt;6,2,0)</f>
        <v>2</v>
      </c>
    </row>
    <row r="384" spans="1:6" x14ac:dyDescent="0.35">
      <c r="A384" s="14">
        <f t="shared" si="6"/>
        <v>42752</v>
      </c>
      <c r="B384" s="2">
        <f>Table1[[#This Row],[date]]-day_zero</f>
        <v>382</v>
      </c>
      <c r="C384" s="16">
        <f>WEEKDAY(Table1[[#This Row],[date]],2 )</f>
        <v>2</v>
      </c>
      <c r="D384" s="1">
        <v>15</v>
      </c>
      <c r="E384" s="1">
        <v>7.5</v>
      </c>
      <c r="F384" s="16">
        <f>IF(Table1[[#This Row],[weekday]]&lt;6,2,0)</f>
        <v>2</v>
      </c>
    </row>
    <row r="385" spans="1:6" x14ac:dyDescent="0.35">
      <c r="A385" s="14">
        <f t="shared" si="6"/>
        <v>42753</v>
      </c>
      <c r="B385" s="2">
        <f>Table1[[#This Row],[date]]-day_zero</f>
        <v>383</v>
      </c>
      <c r="C385" s="16">
        <f>WEEKDAY(Table1[[#This Row],[date]],2 )</f>
        <v>3</v>
      </c>
      <c r="D385" s="1">
        <v>15</v>
      </c>
      <c r="E385" s="1">
        <v>7.5</v>
      </c>
      <c r="F385" s="16">
        <f>IF(Table1[[#This Row],[weekday]]&lt;6,2,0)</f>
        <v>2</v>
      </c>
    </row>
    <row r="386" spans="1:6" x14ac:dyDescent="0.35">
      <c r="A386" s="14">
        <f t="shared" si="6"/>
        <v>42754</v>
      </c>
      <c r="B386" s="2">
        <f>Table1[[#This Row],[date]]-day_zero</f>
        <v>384</v>
      </c>
      <c r="C386" s="16">
        <f>WEEKDAY(Table1[[#This Row],[date]],2 )</f>
        <v>4</v>
      </c>
      <c r="D386" s="1">
        <v>15</v>
      </c>
      <c r="E386" s="1">
        <v>7.5</v>
      </c>
      <c r="F386" s="16">
        <f>IF(Table1[[#This Row],[weekday]]&lt;6,2,0)</f>
        <v>2</v>
      </c>
    </row>
    <row r="387" spans="1:6" x14ac:dyDescent="0.35">
      <c r="A387" s="14">
        <f t="shared" si="6"/>
        <v>42755</v>
      </c>
      <c r="B387" s="2">
        <f>Table1[[#This Row],[date]]-day_zero</f>
        <v>385</v>
      </c>
      <c r="C387" s="16">
        <f>WEEKDAY(Table1[[#This Row],[date]],2 )</f>
        <v>5</v>
      </c>
      <c r="D387" s="1">
        <v>15</v>
      </c>
      <c r="E387" s="1">
        <v>7.5</v>
      </c>
      <c r="F387" s="16">
        <f>IF(Table1[[#This Row],[weekday]]&lt;6,2,0)</f>
        <v>2</v>
      </c>
    </row>
    <row r="388" spans="1:6" x14ac:dyDescent="0.35">
      <c r="A388" s="14">
        <f t="shared" si="6"/>
        <v>42756</v>
      </c>
      <c r="B388" s="2">
        <f>Table1[[#This Row],[date]]-day_zero</f>
        <v>386</v>
      </c>
      <c r="C388" s="16">
        <f>WEEKDAY(Table1[[#This Row],[date]],2 )</f>
        <v>6</v>
      </c>
      <c r="D388" s="1">
        <v>15</v>
      </c>
      <c r="E388" s="1">
        <v>7.5</v>
      </c>
      <c r="F388" s="16">
        <f>IF(Table1[[#This Row],[weekday]]&lt;6,2,0)</f>
        <v>0</v>
      </c>
    </row>
    <row r="389" spans="1:6" x14ac:dyDescent="0.35">
      <c r="A389" s="14">
        <f t="shared" si="6"/>
        <v>42757</v>
      </c>
      <c r="B389" s="2">
        <f>Table1[[#This Row],[date]]-day_zero</f>
        <v>387</v>
      </c>
      <c r="C389" s="16">
        <f>WEEKDAY(Table1[[#This Row],[date]],2 )</f>
        <v>7</v>
      </c>
      <c r="D389" s="1">
        <v>15</v>
      </c>
      <c r="E389" s="1">
        <v>7.5</v>
      </c>
      <c r="F389" s="16">
        <f>IF(Table1[[#This Row],[weekday]]&lt;6,2,0)</f>
        <v>0</v>
      </c>
    </row>
    <row r="390" spans="1:6" x14ac:dyDescent="0.35">
      <c r="A390" s="14">
        <f t="shared" si="6"/>
        <v>42758</v>
      </c>
      <c r="B390" s="2">
        <f>Table1[[#This Row],[date]]-day_zero</f>
        <v>388</v>
      </c>
      <c r="C390" s="16">
        <f>WEEKDAY(Table1[[#This Row],[date]],2 )</f>
        <v>1</v>
      </c>
      <c r="D390" s="1">
        <v>15</v>
      </c>
      <c r="E390" s="1">
        <v>7.5</v>
      </c>
      <c r="F390" s="16">
        <f>IF(Table1[[#This Row],[weekday]]&lt;6,2,0)</f>
        <v>2</v>
      </c>
    </row>
    <row r="391" spans="1:6" x14ac:dyDescent="0.35">
      <c r="A391" s="14">
        <f t="shared" si="6"/>
        <v>42759</v>
      </c>
      <c r="B391" s="2">
        <f>Table1[[#This Row],[date]]-day_zero</f>
        <v>389</v>
      </c>
      <c r="C391" s="16">
        <f>WEEKDAY(Table1[[#This Row],[date]],2 )</f>
        <v>2</v>
      </c>
      <c r="D391" s="1">
        <v>15</v>
      </c>
      <c r="E391" s="1">
        <v>7.5</v>
      </c>
      <c r="F391" s="16">
        <f>IF(Table1[[#This Row],[weekday]]&lt;6,2,0)</f>
        <v>2</v>
      </c>
    </row>
    <row r="392" spans="1:6" x14ac:dyDescent="0.35">
      <c r="A392" s="14">
        <f t="shared" si="6"/>
        <v>42760</v>
      </c>
      <c r="B392" s="2">
        <f>Table1[[#This Row],[date]]-day_zero</f>
        <v>390</v>
      </c>
      <c r="C392" s="16">
        <f>WEEKDAY(Table1[[#This Row],[date]],2 )</f>
        <v>3</v>
      </c>
      <c r="D392" s="1">
        <v>15</v>
      </c>
      <c r="E392" s="1">
        <v>7.5</v>
      </c>
      <c r="F392" s="16">
        <f>IF(Table1[[#This Row],[weekday]]&lt;6,2,0)</f>
        <v>2</v>
      </c>
    </row>
    <row r="393" spans="1:6" x14ac:dyDescent="0.35">
      <c r="A393" s="14">
        <f t="shared" si="6"/>
        <v>42761</v>
      </c>
      <c r="B393" s="2">
        <f>Table1[[#This Row],[date]]-day_zero</f>
        <v>391</v>
      </c>
      <c r="C393" s="16">
        <f>WEEKDAY(Table1[[#This Row],[date]],2 )</f>
        <v>4</v>
      </c>
      <c r="D393" s="1">
        <v>15</v>
      </c>
      <c r="E393" s="1">
        <v>7.5</v>
      </c>
      <c r="F393" s="16">
        <f>IF(Table1[[#This Row],[weekday]]&lt;6,2,0)</f>
        <v>2</v>
      </c>
    </row>
    <row r="394" spans="1:6" x14ac:dyDescent="0.35">
      <c r="A394" s="14">
        <f t="shared" si="6"/>
        <v>42762</v>
      </c>
      <c r="B394" s="2">
        <f>Table1[[#This Row],[date]]-day_zero</f>
        <v>392</v>
      </c>
      <c r="C394" s="16">
        <f>WEEKDAY(Table1[[#This Row],[date]],2 )</f>
        <v>5</v>
      </c>
      <c r="D394" s="1">
        <v>15</v>
      </c>
      <c r="E394" s="1">
        <v>7.5</v>
      </c>
      <c r="F394" s="16">
        <f>IF(Table1[[#This Row],[weekday]]&lt;6,2,0)</f>
        <v>2</v>
      </c>
    </row>
    <row r="395" spans="1:6" x14ac:dyDescent="0.35">
      <c r="A395" s="14">
        <f t="shared" si="6"/>
        <v>42763</v>
      </c>
      <c r="B395" s="2">
        <f>Table1[[#This Row],[date]]-day_zero</f>
        <v>393</v>
      </c>
      <c r="C395" s="16">
        <f>WEEKDAY(Table1[[#This Row],[date]],2 )</f>
        <v>6</v>
      </c>
      <c r="D395" s="1">
        <v>15</v>
      </c>
      <c r="E395" s="1">
        <v>7.5</v>
      </c>
      <c r="F395" s="16">
        <f>IF(Table1[[#This Row],[weekday]]&lt;6,2,0)</f>
        <v>0</v>
      </c>
    </row>
    <row r="396" spans="1:6" x14ac:dyDescent="0.35">
      <c r="A396" s="14">
        <f t="shared" ref="A396:A459" si="7">A395+1</f>
        <v>42764</v>
      </c>
      <c r="B396" s="2">
        <f>Table1[[#This Row],[date]]-day_zero</f>
        <v>394</v>
      </c>
      <c r="C396" s="16">
        <f>WEEKDAY(Table1[[#This Row],[date]],2 )</f>
        <v>7</v>
      </c>
      <c r="D396" s="1">
        <v>15</v>
      </c>
      <c r="E396" s="1">
        <v>7.5</v>
      </c>
      <c r="F396" s="16">
        <f>IF(Table1[[#This Row],[weekday]]&lt;6,2,0)</f>
        <v>0</v>
      </c>
    </row>
    <row r="397" spans="1:6" x14ac:dyDescent="0.35">
      <c r="A397" s="14">
        <f t="shared" si="7"/>
        <v>42765</v>
      </c>
      <c r="B397" s="2">
        <f>Table1[[#This Row],[date]]-day_zero</f>
        <v>395</v>
      </c>
      <c r="C397" s="16">
        <f>WEEKDAY(Table1[[#This Row],[date]],2 )</f>
        <v>1</v>
      </c>
      <c r="D397" s="1">
        <v>15</v>
      </c>
      <c r="E397" s="1">
        <v>7.5</v>
      </c>
      <c r="F397" s="16">
        <f>IF(Table1[[#This Row],[weekday]]&lt;6,2,0)</f>
        <v>2</v>
      </c>
    </row>
    <row r="398" spans="1:6" x14ac:dyDescent="0.35">
      <c r="A398" s="14">
        <f t="shared" si="7"/>
        <v>42766</v>
      </c>
      <c r="B398" s="2">
        <f>Table1[[#This Row],[date]]-day_zero</f>
        <v>396</v>
      </c>
      <c r="C398" s="16">
        <f>WEEKDAY(Table1[[#This Row],[date]],2 )</f>
        <v>2</v>
      </c>
      <c r="D398" s="1">
        <v>15</v>
      </c>
      <c r="E398" s="1">
        <v>7.5</v>
      </c>
      <c r="F398" s="16">
        <f>IF(Table1[[#This Row],[weekday]]&lt;6,2,0)</f>
        <v>2</v>
      </c>
    </row>
    <row r="399" spans="1:6" x14ac:dyDescent="0.35">
      <c r="A399" s="14">
        <f t="shared" si="7"/>
        <v>42767</v>
      </c>
      <c r="B399" s="2">
        <f>Table1[[#This Row],[date]]-day_zero</f>
        <v>397</v>
      </c>
      <c r="C399" s="16">
        <f>WEEKDAY(Table1[[#This Row],[date]],2 )</f>
        <v>3</v>
      </c>
      <c r="D399" s="1">
        <v>15</v>
      </c>
      <c r="E399" s="1">
        <v>7.5</v>
      </c>
      <c r="F399" s="16">
        <f>IF(Table1[[#This Row],[weekday]]&lt;6,2,0)</f>
        <v>2</v>
      </c>
    </row>
    <row r="400" spans="1:6" x14ac:dyDescent="0.35">
      <c r="A400" s="14">
        <f t="shared" si="7"/>
        <v>42768</v>
      </c>
      <c r="B400" s="2">
        <f>Table1[[#This Row],[date]]-day_zero</f>
        <v>398</v>
      </c>
      <c r="C400" s="16">
        <f>WEEKDAY(Table1[[#This Row],[date]],2 )</f>
        <v>4</v>
      </c>
      <c r="D400" s="1">
        <v>15</v>
      </c>
      <c r="E400" s="1">
        <v>7.5</v>
      </c>
      <c r="F400" s="16">
        <f>IF(Table1[[#This Row],[weekday]]&lt;6,2,0)</f>
        <v>2</v>
      </c>
    </row>
    <row r="401" spans="1:6" x14ac:dyDescent="0.35">
      <c r="A401" s="14">
        <f t="shared" si="7"/>
        <v>42769</v>
      </c>
      <c r="B401" s="2">
        <f>Table1[[#This Row],[date]]-day_zero</f>
        <v>399</v>
      </c>
      <c r="C401" s="16">
        <f>WEEKDAY(Table1[[#This Row],[date]],2 )</f>
        <v>5</v>
      </c>
      <c r="D401" s="1">
        <v>15</v>
      </c>
      <c r="E401" s="1">
        <v>7.5</v>
      </c>
      <c r="F401" s="16">
        <f>IF(Table1[[#This Row],[weekday]]&lt;6,2,0)</f>
        <v>2</v>
      </c>
    </row>
    <row r="402" spans="1:6" x14ac:dyDescent="0.35">
      <c r="A402" s="14">
        <f t="shared" si="7"/>
        <v>42770</v>
      </c>
      <c r="B402" s="2">
        <f>Table1[[#This Row],[date]]-day_zero</f>
        <v>400</v>
      </c>
      <c r="C402" s="16">
        <f>WEEKDAY(Table1[[#This Row],[date]],2 )</f>
        <v>6</v>
      </c>
      <c r="D402" s="1">
        <v>15</v>
      </c>
      <c r="E402" s="1">
        <v>7.5</v>
      </c>
      <c r="F402" s="16">
        <f>IF(Table1[[#This Row],[weekday]]&lt;6,2,0)</f>
        <v>0</v>
      </c>
    </row>
    <row r="403" spans="1:6" x14ac:dyDescent="0.35">
      <c r="A403" s="14">
        <f t="shared" si="7"/>
        <v>42771</v>
      </c>
      <c r="B403" s="2">
        <f>Table1[[#This Row],[date]]-day_zero</f>
        <v>401</v>
      </c>
      <c r="C403" s="16">
        <f>WEEKDAY(Table1[[#This Row],[date]],2 )</f>
        <v>7</v>
      </c>
      <c r="D403" s="1">
        <v>15</v>
      </c>
      <c r="E403" s="1">
        <v>7.5</v>
      </c>
      <c r="F403" s="16">
        <f>IF(Table1[[#This Row],[weekday]]&lt;6,2,0)</f>
        <v>0</v>
      </c>
    </row>
    <row r="404" spans="1:6" x14ac:dyDescent="0.35">
      <c r="A404" s="14">
        <f t="shared" si="7"/>
        <v>42772</v>
      </c>
      <c r="B404" s="2">
        <f>Table1[[#This Row],[date]]-day_zero</f>
        <v>402</v>
      </c>
      <c r="C404" s="16">
        <f>WEEKDAY(Table1[[#This Row],[date]],2 )</f>
        <v>1</v>
      </c>
      <c r="D404" s="1">
        <v>15</v>
      </c>
      <c r="E404" s="1">
        <v>7.5</v>
      </c>
      <c r="F404" s="16">
        <f>IF(Table1[[#This Row],[weekday]]&lt;6,2,0)</f>
        <v>2</v>
      </c>
    </row>
    <row r="405" spans="1:6" x14ac:dyDescent="0.35">
      <c r="A405" s="14">
        <f t="shared" si="7"/>
        <v>42773</v>
      </c>
      <c r="B405" s="2">
        <f>Table1[[#This Row],[date]]-day_zero</f>
        <v>403</v>
      </c>
      <c r="C405" s="16">
        <f>WEEKDAY(Table1[[#This Row],[date]],2 )</f>
        <v>2</v>
      </c>
      <c r="D405" s="1">
        <v>15</v>
      </c>
      <c r="E405" s="1">
        <v>7.5</v>
      </c>
      <c r="F405" s="16">
        <f>IF(Table1[[#This Row],[weekday]]&lt;6,2,0)</f>
        <v>2</v>
      </c>
    </row>
    <row r="406" spans="1:6" x14ac:dyDescent="0.35">
      <c r="A406" s="14">
        <f t="shared" si="7"/>
        <v>42774</v>
      </c>
      <c r="B406" s="2">
        <f>Table1[[#This Row],[date]]-day_zero</f>
        <v>404</v>
      </c>
      <c r="C406" s="16">
        <f>WEEKDAY(Table1[[#This Row],[date]],2 )</f>
        <v>3</v>
      </c>
      <c r="D406" s="1">
        <v>15</v>
      </c>
      <c r="E406" s="1">
        <v>7.5</v>
      </c>
      <c r="F406" s="16">
        <f>IF(Table1[[#This Row],[weekday]]&lt;6,2,0)</f>
        <v>2</v>
      </c>
    </row>
    <row r="407" spans="1:6" x14ac:dyDescent="0.35">
      <c r="A407" s="14">
        <f t="shared" si="7"/>
        <v>42775</v>
      </c>
      <c r="B407" s="2">
        <f>Table1[[#This Row],[date]]-day_zero</f>
        <v>405</v>
      </c>
      <c r="C407" s="16">
        <f>WEEKDAY(Table1[[#This Row],[date]],2 )</f>
        <v>4</v>
      </c>
      <c r="D407" s="1">
        <v>15</v>
      </c>
      <c r="E407" s="1">
        <v>7.5</v>
      </c>
      <c r="F407" s="16">
        <f>IF(Table1[[#This Row],[weekday]]&lt;6,2,0)</f>
        <v>2</v>
      </c>
    </row>
    <row r="408" spans="1:6" x14ac:dyDescent="0.35">
      <c r="A408" s="14">
        <f t="shared" si="7"/>
        <v>42776</v>
      </c>
      <c r="B408" s="2">
        <f>Table1[[#This Row],[date]]-day_zero</f>
        <v>406</v>
      </c>
      <c r="C408" s="16">
        <f>WEEKDAY(Table1[[#This Row],[date]],2 )</f>
        <v>5</v>
      </c>
      <c r="D408" s="1">
        <v>15</v>
      </c>
      <c r="E408" s="1">
        <v>7.5</v>
      </c>
      <c r="F408" s="16">
        <f>IF(Table1[[#This Row],[weekday]]&lt;6,2,0)</f>
        <v>2</v>
      </c>
    </row>
    <row r="409" spans="1:6" x14ac:dyDescent="0.35">
      <c r="A409" s="14">
        <f t="shared" si="7"/>
        <v>42777</v>
      </c>
      <c r="B409" s="2">
        <f>Table1[[#This Row],[date]]-day_zero</f>
        <v>407</v>
      </c>
      <c r="C409" s="16">
        <f>WEEKDAY(Table1[[#This Row],[date]],2 )</f>
        <v>6</v>
      </c>
      <c r="D409" s="1">
        <v>15</v>
      </c>
      <c r="E409" s="1">
        <v>7.5</v>
      </c>
      <c r="F409" s="16">
        <f>IF(Table1[[#This Row],[weekday]]&lt;6,2,0)</f>
        <v>0</v>
      </c>
    </row>
    <row r="410" spans="1:6" x14ac:dyDescent="0.35">
      <c r="A410" s="14">
        <f t="shared" si="7"/>
        <v>42778</v>
      </c>
      <c r="B410" s="2">
        <f>Table1[[#This Row],[date]]-day_zero</f>
        <v>408</v>
      </c>
      <c r="C410" s="16">
        <f>WEEKDAY(Table1[[#This Row],[date]],2 )</f>
        <v>7</v>
      </c>
      <c r="D410" s="1">
        <v>15</v>
      </c>
      <c r="E410" s="1">
        <v>7.5</v>
      </c>
      <c r="F410" s="16">
        <f>IF(Table1[[#This Row],[weekday]]&lt;6,2,0)</f>
        <v>0</v>
      </c>
    </row>
    <row r="411" spans="1:6" x14ac:dyDescent="0.35">
      <c r="A411" s="14">
        <f t="shared" si="7"/>
        <v>42779</v>
      </c>
      <c r="B411" s="2">
        <f>Table1[[#This Row],[date]]-day_zero</f>
        <v>409</v>
      </c>
      <c r="C411" s="16">
        <f>WEEKDAY(Table1[[#This Row],[date]],2 )</f>
        <v>1</v>
      </c>
      <c r="D411" s="1">
        <v>15</v>
      </c>
      <c r="E411" s="1">
        <v>7.5</v>
      </c>
      <c r="F411" s="16">
        <f>IF(Table1[[#This Row],[weekday]]&lt;6,2,0)</f>
        <v>2</v>
      </c>
    </row>
    <row r="412" spans="1:6" x14ac:dyDescent="0.35">
      <c r="A412" s="14">
        <f t="shared" si="7"/>
        <v>42780</v>
      </c>
      <c r="B412" s="2">
        <f>Table1[[#This Row],[date]]-day_zero</f>
        <v>410</v>
      </c>
      <c r="C412" s="16">
        <f>WEEKDAY(Table1[[#This Row],[date]],2 )</f>
        <v>2</v>
      </c>
      <c r="D412" s="1">
        <v>15</v>
      </c>
      <c r="E412" s="1">
        <v>7.5</v>
      </c>
      <c r="F412" s="16">
        <f>IF(Table1[[#This Row],[weekday]]&lt;6,2,0)</f>
        <v>2</v>
      </c>
    </row>
    <row r="413" spans="1:6" x14ac:dyDescent="0.35">
      <c r="A413" s="14">
        <f t="shared" si="7"/>
        <v>42781</v>
      </c>
      <c r="B413" s="2">
        <f>Table1[[#This Row],[date]]-day_zero</f>
        <v>411</v>
      </c>
      <c r="C413" s="16">
        <f>WEEKDAY(Table1[[#This Row],[date]],2 )</f>
        <v>3</v>
      </c>
      <c r="D413" s="1">
        <v>15</v>
      </c>
      <c r="E413" s="1">
        <v>7.5</v>
      </c>
      <c r="F413" s="16">
        <f>IF(Table1[[#This Row],[weekday]]&lt;6,2,0)</f>
        <v>2</v>
      </c>
    </row>
    <row r="414" spans="1:6" x14ac:dyDescent="0.35">
      <c r="A414" s="14">
        <f t="shared" si="7"/>
        <v>42782</v>
      </c>
      <c r="B414" s="2">
        <f>Table1[[#This Row],[date]]-day_zero</f>
        <v>412</v>
      </c>
      <c r="C414" s="16">
        <f>WEEKDAY(Table1[[#This Row],[date]],2 )</f>
        <v>4</v>
      </c>
      <c r="D414" s="1">
        <v>15</v>
      </c>
      <c r="E414" s="1">
        <v>7.5</v>
      </c>
      <c r="F414" s="16">
        <f>IF(Table1[[#This Row],[weekday]]&lt;6,2,0)</f>
        <v>2</v>
      </c>
    </row>
    <row r="415" spans="1:6" x14ac:dyDescent="0.35">
      <c r="A415" s="14">
        <f t="shared" si="7"/>
        <v>42783</v>
      </c>
      <c r="B415" s="2">
        <f>Table1[[#This Row],[date]]-day_zero</f>
        <v>413</v>
      </c>
      <c r="C415" s="16">
        <f>WEEKDAY(Table1[[#This Row],[date]],2 )</f>
        <v>5</v>
      </c>
      <c r="D415" s="1">
        <v>15</v>
      </c>
      <c r="E415" s="1">
        <v>7.5</v>
      </c>
      <c r="F415" s="16">
        <f>IF(Table1[[#This Row],[weekday]]&lt;6,2,0)</f>
        <v>2</v>
      </c>
    </row>
    <row r="416" spans="1:6" x14ac:dyDescent="0.35">
      <c r="A416" s="14">
        <f t="shared" si="7"/>
        <v>42784</v>
      </c>
      <c r="B416" s="2">
        <f>Table1[[#This Row],[date]]-day_zero</f>
        <v>414</v>
      </c>
      <c r="C416" s="16">
        <f>WEEKDAY(Table1[[#This Row],[date]],2 )</f>
        <v>6</v>
      </c>
      <c r="D416" s="1">
        <v>15</v>
      </c>
      <c r="E416" s="1">
        <v>7.5</v>
      </c>
      <c r="F416" s="16">
        <f>IF(Table1[[#This Row],[weekday]]&lt;6,2,0)</f>
        <v>0</v>
      </c>
    </row>
    <row r="417" spans="1:6" x14ac:dyDescent="0.35">
      <c r="A417" s="14">
        <f t="shared" si="7"/>
        <v>42785</v>
      </c>
      <c r="B417" s="2">
        <f>Table1[[#This Row],[date]]-day_zero</f>
        <v>415</v>
      </c>
      <c r="C417" s="16">
        <f>WEEKDAY(Table1[[#This Row],[date]],2 )</f>
        <v>7</v>
      </c>
      <c r="D417" s="1">
        <v>15</v>
      </c>
      <c r="E417" s="1">
        <v>7.5</v>
      </c>
      <c r="F417" s="16">
        <f>IF(Table1[[#This Row],[weekday]]&lt;6,2,0)</f>
        <v>0</v>
      </c>
    </row>
    <row r="418" spans="1:6" x14ac:dyDescent="0.35">
      <c r="A418" s="14">
        <f t="shared" si="7"/>
        <v>42786</v>
      </c>
      <c r="B418" s="2">
        <f>Table1[[#This Row],[date]]-day_zero</f>
        <v>416</v>
      </c>
      <c r="C418" s="16">
        <f>WEEKDAY(Table1[[#This Row],[date]],2 )</f>
        <v>1</v>
      </c>
      <c r="D418" s="1">
        <v>15</v>
      </c>
      <c r="E418" s="1">
        <v>7.5</v>
      </c>
      <c r="F418" s="16">
        <f>IF(Table1[[#This Row],[weekday]]&lt;6,2,0)</f>
        <v>2</v>
      </c>
    </row>
    <row r="419" spans="1:6" x14ac:dyDescent="0.35">
      <c r="A419" s="14">
        <f t="shared" si="7"/>
        <v>42787</v>
      </c>
      <c r="B419" s="2">
        <f>Table1[[#This Row],[date]]-day_zero</f>
        <v>417</v>
      </c>
      <c r="C419" s="16">
        <f>WEEKDAY(Table1[[#This Row],[date]],2 )</f>
        <v>2</v>
      </c>
      <c r="D419" s="1">
        <v>15</v>
      </c>
      <c r="E419" s="1">
        <v>7.5</v>
      </c>
      <c r="F419" s="16">
        <f>IF(Table1[[#This Row],[weekday]]&lt;6,2,0)</f>
        <v>2</v>
      </c>
    </row>
    <row r="420" spans="1:6" x14ac:dyDescent="0.35">
      <c r="A420" s="14">
        <f t="shared" si="7"/>
        <v>42788</v>
      </c>
      <c r="B420" s="2">
        <f>Table1[[#This Row],[date]]-day_zero</f>
        <v>418</v>
      </c>
      <c r="C420" s="16">
        <f>WEEKDAY(Table1[[#This Row],[date]],2 )</f>
        <v>3</v>
      </c>
      <c r="D420" s="1">
        <v>15</v>
      </c>
      <c r="E420" s="1">
        <v>7.5</v>
      </c>
      <c r="F420" s="16">
        <f>IF(Table1[[#This Row],[weekday]]&lt;6,2,0)</f>
        <v>2</v>
      </c>
    </row>
    <row r="421" spans="1:6" x14ac:dyDescent="0.35">
      <c r="A421" s="14">
        <f t="shared" si="7"/>
        <v>42789</v>
      </c>
      <c r="B421" s="2">
        <f>Table1[[#This Row],[date]]-day_zero</f>
        <v>419</v>
      </c>
      <c r="C421" s="16">
        <f>WEEKDAY(Table1[[#This Row],[date]],2 )</f>
        <v>4</v>
      </c>
      <c r="D421" s="1">
        <v>15</v>
      </c>
      <c r="E421" s="1">
        <v>7.5</v>
      </c>
      <c r="F421" s="16">
        <f>IF(Table1[[#This Row],[weekday]]&lt;6,2,0)</f>
        <v>2</v>
      </c>
    </row>
    <row r="422" spans="1:6" x14ac:dyDescent="0.35">
      <c r="A422" s="14">
        <f t="shared" si="7"/>
        <v>42790</v>
      </c>
      <c r="B422" s="2">
        <f>Table1[[#This Row],[date]]-day_zero</f>
        <v>420</v>
      </c>
      <c r="C422" s="16">
        <f>WEEKDAY(Table1[[#This Row],[date]],2 )</f>
        <v>5</v>
      </c>
      <c r="D422" s="1">
        <v>15</v>
      </c>
      <c r="E422" s="1">
        <v>7.5</v>
      </c>
      <c r="F422" s="16">
        <f>IF(Table1[[#This Row],[weekday]]&lt;6,2,0)</f>
        <v>2</v>
      </c>
    </row>
    <row r="423" spans="1:6" x14ac:dyDescent="0.35">
      <c r="A423" s="14">
        <f t="shared" si="7"/>
        <v>42791</v>
      </c>
      <c r="B423" s="2">
        <f>Table1[[#This Row],[date]]-day_zero</f>
        <v>421</v>
      </c>
      <c r="C423" s="16">
        <f>WEEKDAY(Table1[[#This Row],[date]],2 )</f>
        <v>6</v>
      </c>
      <c r="D423" s="1">
        <v>15</v>
      </c>
      <c r="E423" s="1">
        <v>7.5</v>
      </c>
      <c r="F423" s="16">
        <f>IF(Table1[[#This Row],[weekday]]&lt;6,2,0)</f>
        <v>0</v>
      </c>
    </row>
    <row r="424" spans="1:6" x14ac:dyDescent="0.35">
      <c r="A424" s="14">
        <f t="shared" si="7"/>
        <v>42792</v>
      </c>
      <c r="B424" s="2">
        <f>Table1[[#This Row],[date]]-day_zero</f>
        <v>422</v>
      </c>
      <c r="C424" s="16">
        <f>WEEKDAY(Table1[[#This Row],[date]],2 )</f>
        <v>7</v>
      </c>
      <c r="D424" s="1">
        <v>15</v>
      </c>
      <c r="E424" s="1">
        <v>7.5</v>
      </c>
      <c r="F424" s="16">
        <f>IF(Table1[[#This Row],[weekday]]&lt;6,2,0)</f>
        <v>0</v>
      </c>
    </row>
    <row r="425" spans="1:6" x14ac:dyDescent="0.35">
      <c r="A425" s="14">
        <f t="shared" si="7"/>
        <v>42793</v>
      </c>
      <c r="B425" s="2">
        <f>Table1[[#This Row],[date]]-day_zero</f>
        <v>423</v>
      </c>
      <c r="C425" s="16">
        <f>WEEKDAY(Table1[[#This Row],[date]],2 )</f>
        <v>1</v>
      </c>
      <c r="D425" s="1">
        <v>15</v>
      </c>
      <c r="E425" s="1">
        <v>7.5</v>
      </c>
      <c r="F425" s="16">
        <f>IF(Table1[[#This Row],[weekday]]&lt;6,2,0)</f>
        <v>2</v>
      </c>
    </row>
    <row r="426" spans="1:6" x14ac:dyDescent="0.35">
      <c r="A426" s="14">
        <f t="shared" si="7"/>
        <v>42794</v>
      </c>
      <c r="B426" s="2">
        <f>Table1[[#This Row],[date]]-day_zero</f>
        <v>424</v>
      </c>
      <c r="C426" s="16">
        <f>WEEKDAY(Table1[[#This Row],[date]],2 )</f>
        <v>2</v>
      </c>
      <c r="D426" s="1">
        <v>15</v>
      </c>
      <c r="E426" s="1">
        <v>7.5</v>
      </c>
      <c r="F426" s="16">
        <f>IF(Table1[[#This Row],[weekday]]&lt;6,2,0)</f>
        <v>2</v>
      </c>
    </row>
    <row r="427" spans="1:6" x14ac:dyDescent="0.35">
      <c r="A427" s="14">
        <f t="shared" si="7"/>
        <v>42795</v>
      </c>
      <c r="B427" s="2">
        <f>Table1[[#This Row],[date]]-day_zero</f>
        <v>425</v>
      </c>
      <c r="C427" s="16">
        <f>WEEKDAY(Table1[[#This Row],[date]],2 )</f>
        <v>3</v>
      </c>
      <c r="D427" s="1">
        <v>15</v>
      </c>
      <c r="E427" s="1">
        <v>7.5</v>
      </c>
      <c r="F427" s="16">
        <f>IF(Table1[[#This Row],[weekday]]&lt;6,2,0)</f>
        <v>2</v>
      </c>
    </row>
    <row r="428" spans="1:6" x14ac:dyDescent="0.35">
      <c r="A428" s="14">
        <f t="shared" si="7"/>
        <v>42796</v>
      </c>
      <c r="B428" s="2">
        <f>Table1[[#This Row],[date]]-day_zero</f>
        <v>426</v>
      </c>
      <c r="C428" s="16">
        <f>WEEKDAY(Table1[[#This Row],[date]],2 )</f>
        <v>4</v>
      </c>
      <c r="D428" s="1">
        <v>15</v>
      </c>
      <c r="E428" s="1">
        <v>7.5</v>
      </c>
      <c r="F428" s="16">
        <f>IF(Table1[[#This Row],[weekday]]&lt;6,2,0)</f>
        <v>2</v>
      </c>
    </row>
    <row r="429" spans="1:6" x14ac:dyDescent="0.35">
      <c r="A429" s="14">
        <f t="shared" si="7"/>
        <v>42797</v>
      </c>
      <c r="B429" s="2">
        <f>Table1[[#This Row],[date]]-day_zero</f>
        <v>427</v>
      </c>
      <c r="C429" s="16">
        <f>WEEKDAY(Table1[[#This Row],[date]],2 )</f>
        <v>5</v>
      </c>
      <c r="D429" s="1">
        <v>15</v>
      </c>
      <c r="E429" s="1">
        <v>7.5</v>
      </c>
      <c r="F429" s="16">
        <f>IF(Table1[[#This Row],[weekday]]&lt;6,2,0)</f>
        <v>2</v>
      </c>
    </row>
    <row r="430" spans="1:6" x14ac:dyDescent="0.35">
      <c r="A430" s="14">
        <f t="shared" si="7"/>
        <v>42798</v>
      </c>
      <c r="B430" s="2">
        <f>Table1[[#This Row],[date]]-day_zero</f>
        <v>428</v>
      </c>
      <c r="C430" s="16">
        <f>WEEKDAY(Table1[[#This Row],[date]],2 )</f>
        <v>6</v>
      </c>
      <c r="D430" s="1">
        <v>15</v>
      </c>
      <c r="E430" s="1">
        <v>7.5</v>
      </c>
      <c r="F430" s="16">
        <f>IF(Table1[[#This Row],[weekday]]&lt;6,2,0)</f>
        <v>0</v>
      </c>
    </row>
    <row r="431" spans="1:6" x14ac:dyDescent="0.35">
      <c r="A431" s="14">
        <f t="shared" si="7"/>
        <v>42799</v>
      </c>
      <c r="B431" s="2">
        <f>Table1[[#This Row],[date]]-day_zero</f>
        <v>429</v>
      </c>
      <c r="C431" s="16">
        <f>WEEKDAY(Table1[[#This Row],[date]],2 )</f>
        <v>7</v>
      </c>
      <c r="D431" s="1">
        <v>15</v>
      </c>
      <c r="E431" s="1">
        <v>7.5</v>
      </c>
      <c r="F431" s="16">
        <f>IF(Table1[[#This Row],[weekday]]&lt;6,2,0)</f>
        <v>0</v>
      </c>
    </row>
    <row r="432" spans="1:6" x14ac:dyDescent="0.35">
      <c r="A432" s="14">
        <f t="shared" si="7"/>
        <v>42800</v>
      </c>
      <c r="B432" s="2">
        <f>Table1[[#This Row],[date]]-day_zero</f>
        <v>430</v>
      </c>
      <c r="C432" s="16">
        <f>WEEKDAY(Table1[[#This Row],[date]],2 )</f>
        <v>1</v>
      </c>
      <c r="D432" s="1">
        <v>15</v>
      </c>
      <c r="E432" s="1">
        <v>7.5</v>
      </c>
      <c r="F432" s="16">
        <f>IF(Table1[[#This Row],[weekday]]&lt;6,2,0)</f>
        <v>2</v>
      </c>
    </row>
    <row r="433" spans="1:6" x14ac:dyDescent="0.35">
      <c r="A433" s="14">
        <f t="shared" si="7"/>
        <v>42801</v>
      </c>
      <c r="B433" s="2">
        <f>Table1[[#This Row],[date]]-day_zero</f>
        <v>431</v>
      </c>
      <c r="C433" s="16">
        <f>WEEKDAY(Table1[[#This Row],[date]],2 )</f>
        <v>2</v>
      </c>
      <c r="D433" s="1">
        <v>15</v>
      </c>
      <c r="E433" s="1">
        <v>7.5</v>
      </c>
      <c r="F433" s="16">
        <f>IF(Table1[[#This Row],[weekday]]&lt;6,2,0)</f>
        <v>2</v>
      </c>
    </row>
    <row r="434" spans="1:6" x14ac:dyDescent="0.35">
      <c r="A434" s="14">
        <f t="shared" si="7"/>
        <v>42802</v>
      </c>
      <c r="B434" s="2">
        <f>Table1[[#This Row],[date]]-day_zero</f>
        <v>432</v>
      </c>
      <c r="C434" s="16">
        <f>WEEKDAY(Table1[[#This Row],[date]],2 )</f>
        <v>3</v>
      </c>
      <c r="D434" s="1">
        <v>15</v>
      </c>
      <c r="E434" s="1">
        <v>7.5</v>
      </c>
      <c r="F434" s="16">
        <f>IF(Table1[[#This Row],[weekday]]&lt;6,2,0)</f>
        <v>2</v>
      </c>
    </row>
    <row r="435" spans="1:6" x14ac:dyDescent="0.35">
      <c r="A435" s="14">
        <f t="shared" si="7"/>
        <v>42803</v>
      </c>
      <c r="B435" s="2">
        <f>Table1[[#This Row],[date]]-day_zero</f>
        <v>433</v>
      </c>
      <c r="C435" s="16">
        <f>WEEKDAY(Table1[[#This Row],[date]],2 )</f>
        <v>4</v>
      </c>
      <c r="D435" s="1">
        <v>15</v>
      </c>
      <c r="E435" s="1">
        <v>7.5</v>
      </c>
      <c r="F435" s="16">
        <f>IF(Table1[[#This Row],[weekday]]&lt;6,2,0)</f>
        <v>2</v>
      </c>
    </row>
    <row r="436" spans="1:6" x14ac:dyDescent="0.35">
      <c r="A436" s="14">
        <f t="shared" si="7"/>
        <v>42804</v>
      </c>
      <c r="B436" s="2">
        <f>Table1[[#This Row],[date]]-day_zero</f>
        <v>434</v>
      </c>
      <c r="C436" s="16">
        <f>WEEKDAY(Table1[[#This Row],[date]],2 )</f>
        <v>5</v>
      </c>
      <c r="D436" s="1">
        <v>15</v>
      </c>
      <c r="E436" s="1">
        <v>7.5</v>
      </c>
      <c r="F436" s="16">
        <f>IF(Table1[[#This Row],[weekday]]&lt;6,2,0)</f>
        <v>2</v>
      </c>
    </row>
    <row r="437" spans="1:6" x14ac:dyDescent="0.35">
      <c r="A437" s="14">
        <f t="shared" si="7"/>
        <v>42805</v>
      </c>
      <c r="B437" s="2">
        <f>Table1[[#This Row],[date]]-day_zero</f>
        <v>435</v>
      </c>
      <c r="C437" s="16">
        <f>WEEKDAY(Table1[[#This Row],[date]],2 )</f>
        <v>6</v>
      </c>
      <c r="D437" s="1">
        <v>15</v>
      </c>
      <c r="E437" s="1">
        <v>7.5</v>
      </c>
      <c r="F437" s="16">
        <f>IF(Table1[[#This Row],[weekday]]&lt;6,2,0)</f>
        <v>0</v>
      </c>
    </row>
    <row r="438" spans="1:6" x14ac:dyDescent="0.35">
      <c r="A438" s="14">
        <f t="shared" si="7"/>
        <v>42806</v>
      </c>
      <c r="B438" s="2">
        <f>Table1[[#This Row],[date]]-day_zero</f>
        <v>436</v>
      </c>
      <c r="C438" s="16">
        <f>WEEKDAY(Table1[[#This Row],[date]],2 )</f>
        <v>7</v>
      </c>
      <c r="D438" s="1">
        <v>15</v>
      </c>
      <c r="E438" s="1">
        <v>7.5</v>
      </c>
      <c r="F438" s="16">
        <f>IF(Table1[[#This Row],[weekday]]&lt;6,2,0)</f>
        <v>0</v>
      </c>
    </row>
    <row r="439" spans="1:6" x14ac:dyDescent="0.35">
      <c r="A439" s="14">
        <f t="shared" si="7"/>
        <v>42807</v>
      </c>
      <c r="B439" s="2">
        <f>Table1[[#This Row],[date]]-day_zero</f>
        <v>437</v>
      </c>
      <c r="C439" s="16">
        <f>WEEKDAY(Table1[[#This Row],[date]],2 )</f>
        <v>1</v>
      </c>
      <c r="D439" s="1">
        <v>15</v>
      </c>
      <c r="E439" s="1">
        <v>7.5</v>
      </c>
      <c r="F439" s="16">
        <f>IF(Table1[[#This Row],[weekday]]&lt;6,2,0)</f>
        <v>2</v>
      </c>
    </row>
    <row r="440" spans="1:6" x14ac:dyDescent="0.35">
      <c r="A440" s="14">
        <f t="shared" si="7"/>
        <v>42808</v>
      </c>
      <c r="B440" s="2">
        <f>Table1[[#This Row],[date]]-day_zero</f>
        <v>438</v>
      </c>
      <c r="C440" s="16">
        <f>WEEKDAY(Table1[[#This Row],[date]],2 )</f>
        <v>2</v>
      </c>
      <c r="D440" s="1">
        <v>15</v>
      </c>
      <c r="E440" s="1">
        <v>7.5</v>
      </c>
      <c r="F440" s="16">
        <f>IF(Table1[[#This Row],[weekday]]&lt;6,2,0)</f>
        <v>2</v>
      </c>
    </row>
    <row r="441" spans="1:6" x14ac:dyDescent="0.35">
      <c r="A441" s="14">
        <f t="shared" si="7"/>
        <v>42809</v>
      </c>
      <c r="B441" s="2">
        <f>Table1[[#This Row],[date]]-day_zero</f>
        <v>439</v>
      </c>
      <c r="C441" s="16">
        <f>WEEKDAY(Table1[[#This Row],[date]],2 )</f>
        <v>3</v>
      </c>
      <c r="D441" s="1">
        <v>15</v>
      </c>
      <c r="E441" s="1">
        <v>7.5</v>
      </c>
      <c r="F441" s="16">
        <f>IF(Table1[[#This Row],[weekday]]&lt;6,2,0)</f>
        <v>2</v>
      </c>
    </row>
    <row r="442" spans="1:6" x14ac:dyDescent="0.35">
      <c r="A442" s="14">
        <f t="shared" si="7"/>
        <v>42810</v>
      </c>
      <c r="B442" s="2">
        <f>Table1[[#This Row],[date]]-day_zero</f>
        <v>440</v>
      </c>
      <c r="C442" s="16">
        <f>WEEKDAY(Table1[[#This Row],[date]],2 )</f>
        <v>4</v>
      </c>
      <c r="D442" s="1">
        <v>15</v>
      </c>
      <c r="E442" s="1">
        <v>7.5</v>
      </c>
      <c r="F442" s="16">
        <f>IF(Table1[[#This Row],[weekday]]&lt;6,2,0)</f>
        <v>2</v>
      </c>
    </row>
    <row r="443" spans="1:6" x14ac:dyDescent="0.35">
      <c r="A443" s="14">
        <f t="shared" si="7"/>
        <v>42811</v>
      </c>
      <c r="B443" s="2">
        <f>Table1[[#This Row],[date]]-day_zero</f>
        <v>441</v>
      </c>
      <c r="C443" s="16">
        <f>WEEKDAY(Table1[[#This Row],[date]],2 )</f>
        <v>5</v>
      </c>
      <c r="D443" s="1">
        <v>15</v>
      </c>
      <c r="E443" s="1">
        <v>7.5</v>
      </c>
      <c r="F443" s="16">
        <f>IF(Table1[[#This Row],[weekday]]&lt;6,2,0)</f>
        <v>2</v>
      </c>
    </row>
    <row r="444" spans="1:6" x14ac:dyDescent="0.35">
      <c r="A444" s="14">
        <f t="shared" si="7"/>
        <v>42812</v>
      </c>
      <c r="B444" s="2">
        <f>Table1[[#This Row],[date]]-day_zero</f>
        <v>442</v>
      </c>
      <c r="C444" s="16">
        <f>WEEKDAY(Table1[[#This Row],[date]],2 )</f>
        <v>6</v>
      </c>
      <c r="D444" s="1">
        <v>15</v>
      </c>
      <c r="E444" s="1">
        <v>7.5</v>
      </c>
      <c r="F444" s="16">
        <f>IF(Table1[[#This Row],[weekday]]&lt;6,2,0)</f>
        <v>0</v>
      </c>
    </row>
    <row r="445" spans="1:6" x14ac:dyDescent="0.35">
      <c r="A445" s="14">
        <f t="shared" si="7"/>
        <v>42813</v>
      </c>
      <c r="B445" s="2">
        <f>Table1[[#This Row],[date]]-day_zero</f>
        <v>443</v>
      </c>
      <c r="C445" s="16">
        <f>WEEKDAY(Table1[[#This Row],[date]],2 )</f>
        <v>7</v>
      </c>
      <c r="D445" s="1">
        <v>15</v>
      </c>
      <c r="E445" s="1">
        <v>7.5</v>
      </c>
      <c r="F445" s="16">
        <f>IF(Table1[[#This Row],[weekday]]&lt;6,2,0)</f>
        <v>0</v>
      </c>
    </row>
    <row r="446" spans="1:6" x14ac:dyDescent="0.35">
      <c r="A446" s="14">
        <f t="shared" si="7"/>
        <v>42814</v>
      </c>
      <c r="B446" s="2">
        <f>Table1[[#This Row],[date]]-day_zero</f>
        <v>444</v>
      </c>
      <c r="C446" s="16">
        <f>WEEKDAY(Table1[[#This Row],[date]],2 )</f>
        <v>1</v>
      </c>
      <c r="D446" s="1">
        <v>15</v>
      </c>
      <c r="E446" s="1">
        <v>7.5</v>
      </c>
      <c r="F446" s="16">
        <f>IF(Table1[[#This Row],[weekday]]&lt;6,2,0)</f>
        <v>2</v>
      </c>
    </row>
    <row r="447" spans="1:6" x14ac:dyDescent="0.35">
      <c r="A447" s="14">
        <f t="shared" si="7"/>
        <v>42815</v>
      </c>
      <c r="B447" s="2">
        <f>Table1[[#This Row],[date]]-day_zero</f>
        <v>445</v>
      </c>
      <c r="C447" s="16">
        <f>WEEKDAY(Table1[[#This Row],[date]],2 )</f>
        <v>2</v>
      </c>
      <c r="D447" s="1">
        <v>15</v>
      </c>
      <c r="E447" s="1">
        <v>7.5</v>
      </c>
      <c r="F447" s="16">
        <f>IF(Table1[[#This Row],[weekday]]&lt;6,2,0)</f>
        <v>2</v>
      </c>
    </row>
    <row r="448" spans="1:6" x14ac:dyDescent="0.35">
      <c r="A448" s="14">
        <f t="shared" si="7"/>
        <v>42816</v>
      </c>
      <c r="B448" s="2">
        <f>Table1[[#This Row],[date]]-day_zero</f>
        <v>446</v>
      </c>
      <c r="C448" s="16">
        <f>WEEKDAY(Table1[[#This Row],[date]],2 )</f>
        <v>3</v>
      </c>
      <c r="D448" s="1">
        <v>15</v>
      </c>
      <c r="E448" s="1">
        <v>7.5</v>
      </c>
      <c r="F448" s="16">
        <f>IF(Table1[[#This Row],[weekday]]&lt;6,2,0)</f>
        <v>2</v>
      </c>
    </row>
    <row r="449" spans="1:6" x14ac:dyDescent="0.35">
      <c r="A449" s="14">
        <f t="shared" si="7"/>
        <v>42817</v>
      </c>
      <c r="B449" s="2">
        <f>Table1[[#This Row],[date]]-day_zero</f>
        <v>447</v>
      </c>
      <c r="C449" s="16">
        <f>WEEKDAY(Table1[[#This Row],[date]],2 )</f>
        <v>4</v>
      </c>
      <c r="D449" s="1">
        <v>15</v>
      </c>
      <c r="E449" s="1">
        <v>7.5</v>
      </c>
      <c r="F449" s="16">
        <f>IF(Table1[[#This Row],[weekday]]&lt;6,2,0)</f>
        <v>2</v>
      </c>
    </row>
    <row r="450" spans="1:6" x14ac:dyDescent="0.35">
      <c r="A450" s="14">
        <f t="shared" si="7"/>
        <v>42818</v>
      </c>
      <c r="B450" s="2">
        <f>Table1[[#This Row],[date]]-day_zero</f>
        <v>448</v>
      </c>
      <c r="C450" s="16">
        <f>WEEKDAY(Table1[[#This Row],[date]],2 )</f>
        <v>5</v>
      </c>
      <c r="D450" s="1">
        <v>15</v>
      </c>
      <c r="E450" s="1">
        <v>7.5</v>
      </c>
      <c r="F450" s="16">
        <f>IF(Table1[[#This Row],[weekday]]&lt;6,2,0)</f>
        <v>2</v>
      </c>
    </row>
    <row r="451" spans="1:6" x14ac:dyDescent="0.35">
      <c r="A451" s="14">
        <f t="shared" si="7"/>
        <v>42819</v>
      </c>
      <c r="B451" s="2">
        <f>Table1[[#This Row],[date]]-day_zero</f>
        <v>449</v>
      </c>
      <c r="C451" s="16">
        <f>WEEKDAY(Table1[[#This Row],[date]],2 )</f>
        <v>6</v>
      </c>
      <c r="D451" s="1">
        <v>15</v>
      </c>
      <c r="E451" s="1">
        <v>7.5</v>
      </c>
      <c r="F451" s="16">
        <f>IF(Table1[[#This Row],[weekday]]&lt;6,2,0)</f>
        <v>0</v>
      </c>
    </row>
    <row r="452" spans="1:6" x14ac:dyDescent="0.35">
      <c r="A452" s="14">
        <f t="shared" si="7"/>
        <v>42820</v>
      </c>
      <c r="B452" s="2">
        <f>Table1[[#This Row],[date]]-day_zero</f>
        <v>450</v>
      </c>
      <c r="C452" s="16">
        <f>WEEKDAY(Table1[[#This Row],[date]],2 )</f>
        <v>7</v>
      </c>
      <c r="D452" s="1">
        <v>15</v>
      </c>
      <c r="E452" s="1">
        <v>7.5</v>
      </c>
      <c r="F452" s="16">
        <f>IF(Table1[[#This Row],[weekday]]&lt;6,2,0)</f>
        <v>0</v>
      </c>
    </row>
    <row r="453" spans="1:6" x14ac:dyDescent="0.35">
      <c r="A453" s="14">
        <f t="shared" si="7"/>
        <v>42821</v>
      </c>
      <c r="B453" s="2">
        <f>Table1[[#This Row],[date]]-day_zero</f>
        <v>451</v>
      </c>
      <c r="C453" s="16">
        <f>WEEKDAY(Table1[[#This Row],[date]],2 )</f>
        <v>1</v>
      </c>
      <c r="D453" s="1">
        <v>15</v>
      </c>
      <c r="E453" s="1">
        <v>7.5</v>
      </c>
      <c r="F453" s="16">
        <f>IF(Table1[[#This Row],[weekday]]&lt;6,2,0)</f>
        <v>2</v>
      </c>
    </row>
    <row r="454" spans="1:6" x14ac:dyDescent="0.35">
      <c r="A454" s="14">
        <f t="shared" si="7"/>
        <v>42822</v>
      </c>
      <c r="B454" s="2">
        <f>Table1[[#This Row],[date]]-day_zero</f>
        <v>452</v>
      </c>
      <c r="C454" s="16">
        <f>WEEKDAY(Table1[[#This Row],[date]],2 )</f>
        <v>2</v>
      </c>
      <c r="D454" s="1">
        <v>15</v>
      </c>
      <c r="E454" s="1">
        <v>7.5</v>
      </c>
      <c r="F454" s="16">
        <f>IF(Table1[[#This Row],[weekday]]&lt;6,2,0)</f>
        <v>2</v>
      </c>
    </row>
    <row r="455" spans="1:6" x14ac:dyDescent="0.35">
      <c r="A455" s="14">
        <f t="shared" si="7"/>
        <v>42823</v>
      </c>
      <c r="B455" s="2">
        <f>Table1[[#This Row],[date]]-day_zero</f>
        <v>453</v>
      </c>
      <c r="C455" s="16">
        <f>WEEKDAY(Table1[[#This Row],[date]],2 )</f>
        <v>3</v>
      </c>
      <c r="D455" s="1">
        <v>15</v>
      </c>
      <c r="E455" s="1">
        <v>7.5</v>
      </c>
      <c r="F455" s="16">
        <f>IF(Table1[[#This Row],[weekday]]&lt;6,2,0)</f>
        <v>2</v>
      </c>
    </row>
    <row r="456" spans="1:6" x14ac:dyDescent="0.35">
      <c r="A456" s="14">
        <f t="shared" si="7"/>
        <v>42824</v>
      </c>
      <c r="B456" s="2">
        <f>Table1[[#This Row],[date]]-day_zero</f>
        <v>454</v>
      </c>
      <c r="C456" s="16">
        <f>WEEKDAY(Table1[[#This Row],[date]],2 )</f>
        <v>4</v>
      </c>
      <c r="D456" s="1">
        <v>15</v>
      </c>
      <c r="E456" s="1">
        <v>7.5</v>
      </c>
      <c r="F456" s="16">
        <f>IF(Table1[[#This Row],[weekday]]&lt;6,2,0)</f>
        <v>2</v>
      </c>
    </row>
    <row r="457" spans="1:6" x14ac:dyDescent="0.35">
      <c r="A457" s="14">
        <f t="shared" si="7"/>
        <v>42825</v>
      </c>
      <c r="B457" s="2">
        <f>Table1[[#This Row],[date]]-day_zero</f>
        <v>455</v>
      </c>
      <c r="C457" s="16">
        <f>WEEKDAY(Table1[[#This Row],[date]],2 )</f>
        <v>5</v>
      </c>
      <c r="D457" s="1">
        <v>15</v>
      </c>
      <c r="E457" s="1">
        <v>7.5</v>
      </c>
      <c r="F457" s="16">
        <f>IF(Table1[[#This Row],[weekday]]&lt;6,2,0)</f>
        <v>2</v>
      </c>
    </row>
    <row r="458" spans="1:6" x14ac:dyDescent="0.35">
      <c r="A458" s="14">
        <f t="shared" si="7"/>
        <v>42826</v>
      </c>
      <c r="B458" s="2">
        <f>Table1[[#This Row],[date]]-day_zero</f>
        <v>456</v>
      </c>
      <c r="C458" s="16">
        <f>WEEKDAY(Table1[[#This Row],[date]],2 )</f>
        <v>6</v>
      </c>
      <c r="D458" s="1">
        <v>15</v>
      </c>
      <c r="E458" s="1">
        <v>7.5</v>
      </c>
      <c r="F458" s="16">
        <f>IF(Table1[[#This Row],[weekday]]&lt;6,2,0)</f>
        <v>0</v>
      </c>
    </row>
    <row r="459" spans="1:6" x14ac:dyDescent="0.35">
      <c r="A459" s="14">
        <f t="shared" si="7"/>
        <v>42827</v>
      </c>
      <c r="B459" s="2">
        <f>Table1[[#This Row],[date]]-day_zero</f>
        <v>457</v>
      </c>
      <c r="C459" s="16">
        <f>WEEKDAY(Table1[[#This Row],[date]],2 )</f>
        <v>7</v>
      </c>
      <c r="D459" s="1">
        <v>15</v>
      </c>
      <c r="E459" s="1">
        <v>7.5</v>
      </c>
      <c r="F459" s="16">
        <f>IF(Table1[[#This Row],[weekday]]&lt;6,2,0)</f>
        <v>0</v>
      </c>
    </row>
    <row r="460" spans="1:6" x14ac:dyDescent="0.35">
      <c r="A460" s="14">
        <f t="shared" ref="A460:A523" si="8">A459+1</f>
        <v>42828</v>
      </c>
      <c r="B460" s="2">
        <f>Table1[[#This Row],[date]]-day_zero</f>
        <v>458</v>
      </c>
      <c r="C460" s="16">
        <f>WEEKDAY(Table1[[#This Row],[date]],2 )</f>
        <v>1</v>
      </c>
      <c r="D460" s="1">
        <v>15</v>
      </c>
      <c r="E460" s="1">
        <v>7.5</v>
      </c>
      <c r="F460" s="16">
        <f>IF(Table1[[#This Row],[weekday]]&lt;6,2,0)</f>
        <v>2</v>
      </c>
    </row>
    <row r="461" spans="1:6" x14ac:dyDescent="0.35">
      <c r="A461" s="14">
        <f t="shared" si="8"/>
        <v>42829</v>
      </c>
      <c r="B461" s="2">
        <f>Table1[[#This Row],[date]]-day_zero</f>
        <v>459</v>
      </c>
      <c r="C461" s="16">
        <f>WEEKDAY(Table1[[#This Row],[date]],2 )</f>
        <v>2</v>
      </c>
      <c r="D461" s="1">
        <v>15</v>
      </c>
      <c r="E461" s="1">
        <v>7.5</v>
      </c>
      <c r="F461" s="16">
        <f>IF(Table1[[#This Row],[weekday]]&lt;6,2,0)</f>
        <v>2</v>
      </c>
    </row>
    <row r="462" spans="1:6" x14ac:dyDescent="0.35">
      <c r="A462" s="14">
        <f t="shared" si="8"/>
        <v>42830</v>
      </c>
      <c r="B462" s="2">
        <f>Table1[[#This Row],[date]]-day_zero</f>
        <v>460</v>
      </c>
      <c r="C462" s="16">
        <f>WEEKDAY(Table1[[#This Row],[date]],2 )</f>
        <v>3</v>
      </c>
      <c r="D462" s="1">
        <v>15</v>
      </c>
      <c r="E462" s="1">
        <v>7.5</v>
      </c>
      <c r="F462" s="16">
        <f>IF(Table1[[#This Row],[weekday]]&lt;6,2,0)</f>
        <v>2</v>
      </c>
    </row>
    <row r="463" spans="1:6" x14ac:dyDescent="0.35">
      <c r="A463" s="14">
        <f t="shared" si="8"/>
        <v>42831</v>
      </c>
      <c r="B463" s="2">
        <f>Table1[[#This Row],[date]]-day_zero</f>
        <v>461</v>
      </c>
      <c r="C463" s="16">
        <f>WEEKDAY(Table1[[#This Row],[date]],2 )</f>
        <v>4</v>
      </c>
      <c r="D463" s="1">
        <v>15</v>
      </c>
      <c r="E463" s="1">
        <v>7.5</v>
      </c>
      <c r="F463" s="16">
        <f>IF(Table1[[#This Row],[weekday]]&lt;6,2,0)</f>
        <v>2</v>
      </c>
    </row>
    <row r="464" spans="1:6" x14ac:dyDescent="0.35">
      <c r="A464" s="14">
        <f t="shared" si="8"/>
        <v>42832</v>
      </c>
      <c r="B464" s="2">
        <f>Table1[[#This Row],[date]]-day_zero</f>
        <v>462</v>
      </c>
      <c r="C464" s="16">
        <f>WEEKDAY(Table1[[#This Row],[date]],2 )</f>
        <v>5</v>
      </c>
      <c r="D464" s="1">
        <v>15</v>
      </c>
      <c r="E464" s="1">
        <v>7.5</v>
      </c>
      <c r="F464" s="16">
        <f>IF(Table1[[#This Row],[weekday]]&lt;6,2,0)</f>
        <v>2</v>
      </c>
    </row>
    <row r="465" spans="1:6" x14ac:dyDescent="0.35">
      <c r="A465" s="14">
        <f t="shared" si="8"/>
        <v>42833</v>
      </c>
      <c r="B465" s="2">
        <f>Table1[[#This Row],[date]]-day_zero</f>
        <v>463</v>
      </c>
      <c r="C465" s="16">
        <f>WEEKDAY(Table1[[#This Row],[date]],2 )</f>
        <v>6</v>
      </c>
      <c r="D465" s="1">
        <v>15</v>
      </c>
      <c r="E465" s="1">
        <v>7.5</v>
      </c>
      <c r="F465" s="16">
        <f>IF(Table1[[#This Row],[weekday]]&lt;6,2,0)</f>
        <v>0</v>
      </c>
    </row>
    <row r="466" spans="1:6" x14ac:dyDescent="0.35">
      <c r="A466" s="14">
        <f t="shared" si="8"/>
        <v>42834</v>
      </c>
      <c r="B466" s="2">
        <f>Table1[[#This Row],[date]]-day_zero</f>
        <v>464</v>
      </c>
      <c r="C466" s="16">
        <f>WEEKDAY(Table1[[#This Row],[date]],2 )</f>
        <v>7</v>
      </c>
      <c r="D466" s="1">
        <v>15</v>
      </c>
      <c r="E466" s="1">
        <v>7.5</v>
      </c>
      <c r="F466" s="16">
        <f>IF(Table1[[#This Row],[weekday]]&lt;6,2,0)</f>
        <v>0</v>
      </c>
    </row>
    <row r="467" spans="1:6" x14ac:dyDescent="0.35">
      <c r="A467" s="14">
        <f t="shared" si="8"/>
        <v>42835</v>
      </c>
      <c r="B467" s="2">
        <f>Table1[[#This Row],[date]]-day_zero</f>
        <v>465</v>
      </c>
      <c r="C467" s="16">
        <f>WEEKDAY(Table1[[#This Row],[date]],2 )</f>
        <v>1</v>
      </c>
      <c r="D467" s="1">
        <v>15</v>
      </c>
      <c r="E467" s="1">
        <v>7.5</v>
      </c>
      <c r="F467" s="16">
        <f>IF(Table1[[#This Row],[weekday]]&lt;6,2,0)</f>
        <v>2</v>
      </c>
    </row>
    <row r="468" spans="1:6" x14ac:dyDescent="0.35">
      <c r="A468" s="14">
        <f t="shared" si="8"/>
        <v>42836</v>
      </c>
      <c r="B468" s="2">
        <f>Table1[[#This Row],[date]]-day_zero</f>
        <v>466</v>
      </c>
      <c r="C468" s="16">
        <f>WEEKDAY(Table1[[#This Row],[date]],2 )</f>
        <v>2</v>
      </c>
      <c r="D468" s="1">
        <v>15</v>
      </c>
      <c r="E468" s="1">
        <v>7.5</v>
      </c>
      <c r="F468" s="16">
        <f>IF(Table1[[#This Row],[weekday]]&lt;6,2,0)</f>
        <v>2</v>
      </c>
    </row>
    <row r="469" spans="1:6" x14ac:dyDescent="0.35">
      <c r="A469" s="14">
        <f t="shared" si="8"/>
        <v>42837</v>
      </c>
      <c r="B469" s="2">
        <f>Table1[[#This Row],[date]]-day_zero</f>
        <v>467</v>
      </c>
      <c r="C469" s="16">
        <f>WEEKDAY(Table1[[#This Row],[date]],2 )</f>
        <v>3</v>
      </c>
      <c r="D469" s="1">
        <v>15</v>
      </c>
      <c r="E469" s="1">
        <v>7.5</v>
      </c>
      <c r="F469" s="16">
        <f>IF(Table1[[#This Row],[weekday]]&lt;6,2,0)</f>
        <v>2</v>
      </c>
    </row>
    <row r="470" spans="1:6" x14ac:dyDescent="0.35">
      <c r="A470" s="14">
        <f t="shared" si="8"/>
        <v>42838</v>
      </c>
      <c r="B470" s="2">
        <f>Table1[[#This Row],[date]]-day_zero</f>
        <v>468</v>
      </c>
      <c r="C470" s="16">
        <f>WEEKDAY(Table1[[#This Row],[date]],2 )</f>
        <v>4</v>
      </c>
      <c r="D470" s="1">
        <v>15</v>
      </c>
      <c r="E470" s="1">
        <v>7.5</v>
      </c>
      <c r="F470" s="16">
        <f>IF(Table1[[#This Row],[weekday]]&lt;6,2,0)</f>
        <v>2</v>
      </c>
    </row>
    <row r="471" spans="1:6" x14ac:dyDescent="0.35">
      <c r="A471" s="14">
        <f t="shared" si="8"/>
        <v>42839</v>
      </c>
      <c r="B471" s="2">
        <f>Table1[[#This Row],[date]]-day_zero</f>
        <v>469</v>
      </c>
      <c r="C471" s="16">
        <f>WEEKDAY(Table1[[#This Row],[date]],2 )</f>
        <v>5</v>
      </c>
      <c r="D471" s="1">
        <v>15</v>
      </c>
      <c r="E471" s="1">
        <v>7.5</v>
      </c>
      <c r="F471" s="16">
        <f>IF(Table1[[#This Row],[weekday]]&lt;6,2,0)</f>
        <v>2</v>
      </c>
    </row>
    <row r="472" spans="1:6" x14ac:dyDescent="0.35">
      <c r="A472" s="14">
        <f t="shared" si="8"/>
        <v>42840</v>
      </c>
      <c r="B472" s="2">
        <f>Table1[[#This Row],[date]]-day_zero</f>
        <v>470</v>
      </c>
      <c r="C472" s="16">
        <f>WEEKDAY(Table1[[#This Row],[date]],2 )</f>
        <v>6</v>
      </c>
      <c r="D472" s="1">
        <v>15</v>
      </c>
      <c r="E472" s="1">
        <v>7.5</v>
      </c>
      <c r="F472" s="16">
        <f>IF(Table1[[#This Row],[weekday]]&lt;6,2,0)</f>
        <v>0</v>
      </c>
    </row>
    <row r="473" spans="1:6" x14ac:dyDescent="0.35">
      <c r="A473" s="14">
        <f t="shared" si="8"/>
        <v>42841</v>
      </c>
      <c r="B473" s="2">
        <f>Table1[[#This Row],[date]]-day_zero</f>
        <v>471</v>
      </c>
      <c r="C473" s="16">
        <f>WEEKDAY(Table1[[#This Row],[date]],2 )</f>
        <v>7</v>
      </c>
      <c r="D473" s="1">
        <v>15</v>
      </c>
      <c r="E473" s="1">
        <v>7.5</v>
      </c>
      <c r="F473" s="16">
        <f>IF(Table1[[#This Row],[weekday]]&lt;6,2,0)</f>
        <v>0</v>
      </c>
    </row>
    <row r="474" spans="1:6" x14ac:dyDescent="0.35">
      <c r="A474" s="14">
        <f t="shared" si="8"/>
        <v>42842</v>
      </c>
      <c r="B474" s="2">
        <f>Table1[[#This Row],[date]]-day_zero</f>
        <v>472</v>
      </c>
      <c r="C474" s="16">
        <f>WEEKDAY(Table1[[#This Row],[date]],2 )</f>
        <v>1</v>
      </c>
      <c r="D474" s="1">
        <v>15</v>
      </c>
      <c r="E474" s="1">
        <v>7.5</v>
      </c>
      <c r="F474" s="16">
        <f>IF(Table1[[#This Row],[weekday]]&lt;6,2,0)</f>
        <v>2</v>
      </c>
    </row>
    <row r="475" spans="1:6" x14ac:dyDescent="0.35">
      <c r="A475" s="14">
        <f t="shared" si="8"/>
        <v>42843</v>
      </c>
      <c r="B475" s="2">
        <f>Table1[[#This Row],[date]]-day_zero</f>
        <v>473</v>
      </c>
      <c r="C475" s="16">
        <f>WEEKDAY(Table1[[#This Row],[date]],2 )</f>
        <v>2</v>
      </c>
      <c r="D475" s="1">
        <v>15</v>
      </c>
      <c r="E475" s="1">
        <v>7.5</v>
      </c>
      <c r="F475" s="16">
        <f>IF(Table1[[#This Row],[weekday]]&lt;6,2,0)</f>
        <v>2</v>
      </c>
    </row>
    <row r="476" spans="1:6" x14ac:dyDescent="0.35">
      <c r="A476" s="14">
        <f t="shared" si="8"/>
        <v>42844</v>
      </c>
      <c r="B476" s="2">
        <f>Table1[[#This Row],[date]]-day_zero</f>
        <v>474</v>
      </c>
      <c r="C476" s="16">
        <f>WEEKDAY(Table1[[#This Row],[date]],2 )</f>
        <v>3</v>
      </c>
      <c r="D476" s="1">
        <v>15</v>
      </c>
      <c r="E476" s="1">
        <v>7.5</v>
      </c>
      <c r="F476" s="16">
        <f>IF(Table1[[#This Row],[weekday]]&lt;6,2,0)</f>
        <v>2</v>
      </c>
    </row>
    <row r="477" spans="1:6" x14ac:dyDescent="0.35">
      <c r="A477" s="14">
        <f t="shared" si="8"/>
        <v>42845</v>
      </c>
      <c r="B477" s="2">
        <f>Table1[[#This Row],[date]]-day_zero</f>
        <v>475</v>
      </c>
      <c r="C477" s="16">
        <f>WEEKDAY(Table1[[#This Row],[date]],2 )</f>
        <v>4</v>
      </c>
      <c r="D477" s="1">
        <v>15</v>
      </c>
      <c r="E477" s="1">
        <v>7.5</v>
      </c>
      <c r="F477" s="16">
        <f>IF(Table1[[#This Row],[weekday]]&lt;6,2,0)</f>
        <v>2</v>
      </c>
    </row>
    <row r="478" spans="1:6" x14ac:dyDescent="0.35">
      <c r="A478" s="14">
        <f t="shared" si="8"/>
        <v>42846</v>
      </c>
      <c r="B478" s="2">
        <f>Table1[[#This Row],[date]]-day_zero</f>
        <v>476</v>
      </c>
      <c r="C478" s="16">
        <f>WEEKDAY(Table1[[#This Row],[date]],2 )</f>
        <v>5</v>
      </c>
      <c r="D478" s="1">
        <v>15</v>
      </c>
      <c r="E478" s="1">
        <v>7.5</v>
      </c>
      <c r="F478" s="16">
        <f>IF(Table1[[#This Row],[weekday]]&lt;6,2,0)</f>
        <v>2</v>
      </c>
    </row>
    <row r="479" spans="1:6" x14ac:dyDescent="0.35">
      <c r="A479" s="14">
        <f t="shared" si="8"/>
        <v>42847</v>
      </c>
      <c r="B479" s="2">
        <f>Table1[[#This Row],[date]]-day_zero</f>
        <v>477</v>
      </c>
      <c r="C479" s="16">
        <f>WEEKDAY(Table1[[#This Row],[date]],2 )</f>
        <v>6</v>
      </c>
      <c r="D479" s="1">
        <v>15</v>
      </c>
      <c r="E479" s="1">
        <v>7.5</v>
      </c>
      <c r="F479" s="16">
        <f>IF(Table1[[#This Row],[weekday]]&lt;6,2,0)</f>
        <v>0</v>
      </c>
    </row>
    <row r="480" spans="1:6" x14ac:dyDescent="0.35">
      <c r="A480" s="14">
        <f t="shared" si="8"/>
        <v>42848</v>
      </c>
      <c r="B480" s="2">
        <f>Table1[[#This Row],[date]]-day_zero</f>
        <v>478</v>
      </c>
      <c r="C480" s="16">
        <f>WEEKDAY(Table1[[#This Row],[date]],2 )</f>
        <v>7</v>
      </c>
      <c r="D480" s="1">
        <v>15</v>
      </c>
      <c r="E480" s="1">
        <v>7.5</v>
      </c>
      <c r="F480" s="16">
        <f>IF(Table1[[#This Row],[weekday]]&lt;6,2,0)</f>
        <v>0</v>
      </c>
    </row>
    <row r="481" spans="1:6" x14ac:dyDescent="0.35">
      <c r="A481" s="14">
        <f t="shared" si="8"/>
        <v>42849</v>
      </c>
      <c r="B481" s="2">
        <f>Table1[[#This Row],[date]]-day_zero</f>
        <v>479</v>
      </c>
      <c r="C481" s="16">
        <f>WEEKDAY(Table1[[#This Row],[date]],2 )</f>
        <v>1</v>
      </c>
      <c r="D481" s="1">
        <v>15</v>
      </c>
      <c r="E481" s="1">
        <v>7.5</v>
      </c>
      <c r="F481" s="16">
        <f>IF(Table1[[#This Row],[weekday]]&lt;6,2,0)</f>
        <v>2</v>
      </c>
    </row>
    <row r="482" spans="1:6" x14ac:dyDescent="0.35">
      <c r="A482" s="14">
        <f t="shared" si="8"/>
        <v>42850</v>
      </c>
      <c r="B482" s="2">
        <f>Table1[[#This Row],[date]]-day_zero</f>
        <v>480</v>
      </c>
      <c r="C482" s="16">
        <f>WEEKDAY(Table1[[#This Row],[date]],2 )</f>
        <v>2</v>
      </c>
      <c r="D482" s="1">
        <v>15</v>
      </c>
      <c r="E482" s="1">
        <v>7.5</v>
      </c>
      <c r="F482" s="16">
        <f>IF(Table1[[#This Row],[weekday]]&lt;6,2,0)</f>
        <v>2</v>
      </c>
    </row>
    <row r="483" spans="1:6" x14ac:dyDescent="0.35">
      <c r="A483" s="14">
        <f t="shared" si="8"/>
        <v>42851</v>
      </c>
      <c r="B483" s="2">
        <f>Table1[[#This Row],[date]]-day_zero</f>
        <v>481</v>
      </c>
      <c r="C483" s="16">
        <f>WEEKDAY(Table1[[#This Row],[date]],2 )</f>
        <v>3</v>
      </c>
      <c r="D483" s="1">
        <v>15</v>
      </c>
      <c r="E483" s="1">
        <v>7.5</v>
      </c>
      <c r="F483" s="16">
        <f>IF(Table1[[#This Row],[weekday]]&lt;6,2,0)</f>
        <v>2</v>
      </c>
    </row>
    <row r="484" spans="1:6" x14ac:dyDescent="0.35">
      <c r="A484" s="14">
        <f t="shared" si="8"/>
        <v>42852</v>
      </c>
      <c r="B484" s="2">
        <f>Table1[[#This Row],[date]]-day_zero</f>
        <v>482</v>
      </c>
      <c r="C484" s="16">
        <f>WEEKDAY(Table1[[#This Row],[date]],2 )</f>
        <v>4</v>
      </c>
      <c r="D484" s="1">
        <v>15</v>
      </c>
      <c r="E484" s="1">
        <v>7.5</v>
      </c>
      <c r="F484" s="16">
        <f>IF(Table1[[#This Row],[weekday]]&lt;6,2,0)</f>
        <v>2</v>
      </c>
    </row>
    <row r="485" spans="1:6" x14ac:dyDescent="0.35">
      <c r="A485" s="14">
        <f t="shared" si="8"/>
        <v>42853</v>
      </c>
      <c r="B485" s="2">
        <f>Table1[[#This Row],[date]]-day_zero</f>
        <v>483</v>
      </c>
      <c r="C485" s="16">
        <f>WEEKDAY(Table1[[#This Row],[date]],2 )</f>
        <v>5</v>
      </c>
      <c r="D485" s="1">
        <v>15</v>
      </c>
      <c r="E485" s="1">
        <v>7.5</v>
      </c>
      <c r="F485" s="16">
        <f>IF(Table1[[#This Row],[weekday]]&lt;6,2,0)</f>
        <v>2</v>
      </c>
    </row>
    <row r="486" spans="1:6" x14ac:dyDescent="0.35">
      <c r="A486" s="14">
        <f t="shared" si="8"/>
        <v>42854</v>
      </c>
      <c r="B486" s="2">
        <f>Table1[[#This Row],[date]]-day_zero</f>
        <v>484</v>
      </c>
      <c r="C486" s="16">
        <f>WEEKDAY(Table1[[#This Row],[date]],2 )</f>
        <v>6</v>
      </c>
      <c r="D486" s="1">
        <v>15</v>
      </c>
      <c r="E486" s="1">
        <v>7.5</v>
      </c>
      <c r="F486" s="16">
        <f>IF(Table1[[#This Row],[weekday]]&lt;6,2,0)</f>
        <v>0</v>
      </c>
    </row>
    <row r="487" spans="1:6" x14ac:dyDescent="0.35">
      <c r="A487" s="14">
        <f t="shared" si="8"/>
        <v>42855</v>
      </c>
      <c r="B487" s="2">
        <f>Table1[[#This Row],[date]]-day_zero</f>
        <v>485</v>
      </c>
      <c r="C487" s="16">
        <f>WEEKDAY(Table1[[#This Row],[date]],2 )</f>
        <v>7</v>
      </c>
      <c r="D487" s="1">
        <v>15</v>
      </c>
      <c r="E487" s="1">
        <v>7.5</v>
      </c>
      <c r="F487" s="16">
        <f>IF(Table1[[#This Row],[weekday]]&lt;6,2,0)</f>
        <v>0</v>
      </c>
    </row>
    <row r="488" spans="1:6" x14ac:dyDescent="0.35">
      <c r="A488" s="14">
        <f t="shared" si="8"/>
        <v>42856</v>
      </c>
      <c r="B488" s="2">
        <f>Table1[[#This Row],[date]]-day_zero</f>
        <v>486</v>
      </c>
      <c r="C488" s="16">
        <f>WEEKDAY(Table1[[#This Row],[date]],2 )</f>
        <v>1</v>
      </c>
      <c r="D488" s="1">
        <v>15</v>
      </c>
      <c r="E488" s="1">
        <v>7.5</v>
      </c>
      <c r="F488" s="16">
        <f>IF(Table1[[#This Row],[weekday]]&lt;6,2,0)</f>
        <v>2</v>
      </c>
    </row>
    <row r="489" spans="1:6" x14ac:dyDescent="0.35">
      <c r="A489" s="14">
        <f t="shared" si="8"/>
        <v>42857</v>
      </c>
      <c r="B489" s="2">
        <f>Table1[[#This Row],[date]]-day_zero</f>
        <v>487</v>
      </c>
      <c r="C489" s="16">
        <f>WEEKDAY(Table1[[#This Row],[date]],2 )</f>
        <v>2</v>
      </c>
      <c r="D489" s="1">
        <v>15</v>
      </c>
      <c r="E489" s="1">
        <v>7.5</v>
      </c>
      <c r="F489" s="16">
        <f>IF(Table1[[#This Row],[weekday]]&lt;6,2,0)</f>
        <v>2</v>
      </c>
    </row>
    <row r="490" spans="1:6" x14ac:dyDescent="0.35">
      <c r="A490" s="14">
        <f t="shared" si="8"/>
        <v>42858</v>
      </c>
      <c r="B490" s="2">
        <f>Table1[[#This Row],[date]]-day_zero</f>
        <v>488</v>
      </c>
      <c r="C490" s="16">
        <f>WEEKDAY(Table1[[#This Row],[date]],2 )</f>
        <v>3</v>
      </c>
      <c r="D490" s="1">
        <v>15</v>
      </c>
      <c r="E490" s="1">
        <v>7.5</v>
      </c>
      <c r="F490" s="16">
        <f>IF(Table1[[#This Row],[weekday]]&lt;6,2,0)</f>
        <v>2</v>
      </c>
    </row>
    <row r="491" spans="1:6" x14ac:dyDescent="0.35">
      <c r="A491" s="14">
        <f t="shared" si="8"/>
        <v>42859</v>
      </c>
      <c r="B491" s="2">
        <f>Table1[[#This Row],[date]]-day_zero</f>
        <v>489</v>
      </c>
      <c r="C491" s="16">
        <f>WEEKDAY(Table1[[#This Row],[date]],2 )</f>
        <v>4</v>
      </c>
      <c r="D491" s="1">
        <v>15</v>
      </c>
      <c r="E491" s="1">
        <v>7.5</v>
      </c>
      <c r="F491" s="16">
        <f>IF(Table1[[#This Row],[weekday]]&lt;6,2,0)</f>
        <v>2</v>
      </c>
    </row>
    <row r="492" spans="1:6" x14ac:dyDescent="0.35">
      <c r="A492" s="14">
        <f t="shared" si="8"/>
        <v>42860</v>
      </c>
      <c r="B492" s="2">
        <f>Table1[[#This Row],[date]]-day_zero</f>
        <v>490</v>
      </c>
      <c r="C492" s="16">
        <f>WEEKDAY(Table1[[#This Row],[date]],2 )</f>
        <v>5</v>
      </c>
      <c r="D492" s="1">
        <v>15</v>
      </c>
      <c r="E492" s="1">
        <v>7.5</v>
      </c>
      <c r="F492" s="16">
        <f>IF(Table1[[#This Row],[weekday]]&lt;6,2,0)</f>
        <v>2</v>
      </c>
    </row>
    <row r="493" spans="1:6" x14ac:dyDescent="0.35">
      <c r="A493" s="14">
        <f t="shared" si="8"/>
        <v>42861</v>
      </c>
      <c r="B493" s="2">
        <f>Table1[[#This Row],[date]]-day_zero</f>
        <v>491</v>
      </c>
      <c r="C493" s="16">
        <f>WEEKDAY(Table1[[#This Row],[date]],2 )</f>
        <v>6</v>
      </c>
      <c r="D493" s="1">
        <v>15</v>
      </c>
      <c r="E493" s="1">
        <v>7.5</v>
      </c>
      <c r="F493" s="16">
        <f>IF(Table1[[#This Row],[weekday]]&lt;6,2,0)</f>
        <v>0</v>
      </c>
    </row>
    <row r="494" spans="1:6" x14ac:dyDescent="0.35">
      <c r="A494" s="14">
        <f t="shared" si="8"/>
        <v>42862</v>
      </c>
      <c r="B494" s="2">
        <f>Table1[[#This Row],[date]]-day_zero</f>
        <v>492</v>
      </c>
      <c r="C494" s="16">
        <f>WEEKDAY(Table1[[#This Row],[date]],2 )</f>
        <v>7</v>
      </c>
      <c r="D494" s="1">
        <v>15</v>
      </c>
      <c r="E494" s="1">
        <v>7.5</v>
      </c>
      <c r="F494" s="16">
        <f>IF(Table1[[#This Row],[weekday]]&lt;6,2,0)</f>
        <v>0</v>
      </c>
    </row>
    <row r="495" spans="1:6" x14ac:dyDescent="0.35">
      <c r="A495" s="14">
        <f t="shared" si="8"/>
        <v>42863</v>
      </c>
      <c r="B495" s="2">
        <f>Table1[[#This Row],[date]]-day_zero</f>
        <v>493</v>
      </c>
      <c r="C495" s="16">
        <f>WEEKDAY(Table1[[#This Row],[date]],2 )</f>
        <v>1</v>
      </c>
      <c r="D495" s="1">
        <v>15</v>
      </c>
      <c r="E495" s="1">
        <v>7.5</v>
      </c>
      <c r="F495" s="16">
        <f>IF(Table1[[#This Row],[weekday]]&lt;6,2,0)</f>
        <v>2</v>
      </c>
    </row>
    <row r="496" spans="1:6" x14ac:dyDescent="0.35">
      <c r="A496" s="14">
        <f t="shared" si="8"/>
        <v>42864</v>
      </c>
      <c r="B496" s="2">
        <f>Table1[[#This Row],[date]]-day_zero</f>
        <v>494</v>
      </c>
      <c r="C496" s="16">
        <f>WEEKDAY(Table1[[#This Row],[date]],2 )</f>
        <v>2</v>
      </c>
      <c r="D496" s="1">
        <v>15</v>
      </c>
      <c r="E496" s="1">
        <v>7.5</v>
      </c>
      <c r="F496" s="16">
        <f>IF(Table1[[#This Row],[weekday]]&lt;6,2,0)</f>
        <v>2</v>
      </c>
    </row>
    <row r="497" spans="1:6" x14ac:dyDescent="0.35">
      <c r="A497" s="14">
        <f t="shared" si="8"/>
        <v>42865</v>
      </c>
      <c r="B497" s="2">
        <f>Table1[[#This Row],[date]]-day_zero</f>
        <v>495</v>
      </c>
      <c r="C497" s="16">
        <f>WEEKDAY(Table1[[#This Row],[date]],2 )</f>
        <v>3</v>
      </c>
      <c r="D497" s="1">
        <v>15</v>
      </c>
      <c r="E497" s="1">
        <v>7.5</v>
      </c>
      <c r="F497" s="16">
        <f>IF(Table1[[#This Row],[weekday]]&lt;6,2,0)</f>
        <v>2</v>
      </c>
    </row>
    <row r="498" spans="1:6" x14ac:dyDescent="0.35">
      <c r="A498" s="14">
        <f t="shared" si="8"/>
        <v>42866</v>
      </c>
      <c r="B498" s="2">
        <f>Table1[[#This Row],[date]]-day_zero</f>
        <v>496</v>
      </c>
      <c r="C498" s="16">
        <f>WEEKDAY(Table1[[#This Row],[date]],2 )</f>
        <v>4</v>
      </c>
      <c r="D498" s="1">
        <v>15</v>
      </c>
      <c r="E498" s="1">
        <v>7.5</v>
      </c>
      <c r="F498" s="16">
        <f>IF(Table1[[#This Row],[weekday]]&lt;6,2,0)</f>
        <v>2</v>
      </c>
    </row>
    <row r="499" spans="1:6" x14ac:dyDescent="0.35">
      <c r="A499" s="14">
        <f t="shared" si="8"/>
        <v>42867</v>
      </c>
      <c r="B499" s="2">
        <f>Table1[[#This Row],[date]]-day_zero</f>
        <v>497</v>
      </c>
      <c r="C499" s="16">
        <f>WEEKDAY(Table1[[#This Row],[date]],2 )</f>
        <v>5</v>
      </c>
      <c r="D499" s="1">
        <v>15</v>
      </c>
      <c r="E499" s="1">
        <v>7.5</v>
      </c>
      <c r="F499" s="16">
        <f>IF(Table1[[#This Row],[weekday]]&lt;6,2,0)</f>
        <v>2</v>
      </c>
    </row>
    <row r="500" spans="1:6" x14ac:dyDescent="0.35">
      <c r="A500" s="14">
        <f t="shared" si="8"/>
        <v>42868</v>
      </c>
      <c r="B500" s="2">
        <f>Table1[[#This Row],[date]]-day_zero</f>
        <v>498</v>
      </c>
      <c r="C500" s="16">
        <f>WEEKDAY(Table1[[#This Row],[date]],2 )</f>
        <v>6</v>
      </c>
      <c r="D500" s="1">
        <v>15</v>
      </c>
      <c r="E500" s="1">
        <v>7.5</v>
      </c>
      <c r="F500" s="16">
        <f>IF(Table1[[#This Row],[weekday]]&lt;6,2,0)</f>
        <v>0</v>
      </c>
    </row>
    <row r="501" spans="1:6" x14ac:dyDescent="0.35">
      <c r="A501" s="14">
        <f t="shared" si="8"/>
        <v>42869</v>
      </c>
      <c r="B501" s="2">
        <f>Table1[[#This Row],[date]]-day_zero</f>
        <v>499</v>
      </c>
      <c r="C501" s="16">
        <f>WEEKDAY(Table1[[#This Row],[date]],2 )</f>
        <v>7</v>
      </c>
      <c r="D501" s="1">
        <v>15</v>
      </c>
      <c r="E501" s="1">
        <v>7.5</v>
      </c>
      <c r="F501" s="16">
        <f>IF(Table1[[#This Row],[weekday]]&lt;6,2,0)</f>
        <v>0</v>
      </c>
    </row>
    <row r="502" spans="1:6" x14ac:dyDescent="0.35">
      <c r="A502" s="14">
        <f t="shared" si="8"/>
        <v>42870</v>
      </c>
      <c r="B502" s="2">
        <f>Table1[[#This Row],[date]]-day_zero</f>
        <v>500</v>
      </c>
      <c r="C502" s="16">
        <f>WEEKDAY(Table1[[#This Row],[date]],2 )</f>
        <v>1</v>
      </c>
      <c r="D502" s="1">
        <v>15</v>
      </c>
      <c r="E502" s="1">
        <v>7.5</v>
      </c>
      <c r="F502" s="16">
        <f>IF(Table1[[#This Row],[weekday]]&lt;6,2,0)</f>
        <v>2</v>
      </c>
    </row>
    <row r="503" spans="1:6" x14ac:dyDescent="0.35">
      <c r="A503" s="14">
        <f t="shared" si="8"/>
        <v>42871</v>
      </c>
      <c r="B503" s="2">
        <f>Table1[[#This Row],[date]]-day_zero</f>
        <v>501</v>
      </c>
      <c r="C503" s="16">
        <f>WEEKDAY(Table1[[#This Row],[date]],2 )</f>
        <v>2</v>
      </c>
      <c r="D503" s="1">
        <v>15</v>
      </c>
      <c r="E503" s="1">
        <v>7.5</v>
      </c>
      <c r="F503" s="16">
        <f>IF(Table1[[#This Row],[weekday]]&lt;6,2,0)</f>
        <v>2</v>
      </c>
    </row>
    <row r="504" spans="1:6" x14ac:dyDescent="0.35">
      <c r="A504" s="14">
        <f t="shared" si="8"/>
        <v>42872</v>
      </c>
      <c r="B504" s="2">
        <f>Table1[[#This Row],[date]]-day_zero</f>
        <v>502</v>
      </c>
      <c r="C504" s="16">
        <f>WEEKDAY(Table1[[#This Row],[date]],2 )</f>
        <v>3</v>
      </c>
      <c r="D504" s="1">
        <v>15</v>
      </c>
      <c r="E504" s="1">
        <v>7.5</v>
      </c>
      <c r="F504" s="16">
        <f>IF(Table1[[#This Row],[weekday]]&lt;6,2,0)</f>
        <v>2</v>
      </c>
    </row>
    <row r="505" spans="1:6" x14ac:dyDescent="0.35">
      <c r="A505" s="14">
        <f t="shared" si="8"/>
        <v>42873</v>
      </c>
      <c r="B505" s="2">
        <f>Table1[[#This Row],[date]]-day_zero</f>
        <v>503</v>
      </c>
      <c r="C505" s="16">
        <f>WEEKDAY(Table1[[#This Row],[date]],2 )</f>
        <v>4</v>
      </c>
      <c r="D505" s="1">
        <v>15</v>
      </c>
      <c r="E505" s="1">
        <v>7.5</v>
      </c>
      <c r="F505" s="16">
        <f>IF(Table1[[#This Row],[weekday]]&lt;6,2,0)</f>
        <v>2</v>
      </c>
    </row>
    <row r="506" spans="1:6" x14ac:dyDescent="0.35">
      <c r="A506" s="14">
        <f t="shared" si="8"/>
        <v>42874</v>
      </c>
      <c r="B506" s="2">
        <f>Table1[[#This Row],[date]]-day_zero</f>
        <v>504</v>
      </c>
      <c r="C506" s="16">
        <f>WEEKDAY(Table1[[#This Row],[date]],2 )</f>
        <v>5</v>
      </c>
      <c r="D506" s="1">
        <v>15</v>
      </c>
      <c r="E506" s="1">
        <v>7.5</v>
      </c>
      <c r="F506" s="16">
        <f>IF(Table1[[#This Row],[weekday]]&lt;6,2,0)</f>
        <v>2</v>
      </c>
    </row>
    <row r="507" spans="1:6" x14ac:dyDescent="0.35">
      <c r="A507" s="14">
        <f t="shared" si="8"/>
        <v>42875</v>
      </c>
      <c r="B507" s="2">
        <f>Table1[[#This Row],[date]]-day_zero</f>
        <v>505</v>
      </c>
      <c r="C507" s="16">
        <f>WEEKDAY(Table1[[#This Row],[date]],2 )</f>
        <v>6</v>
      </c>
      <c r="D507" s="1">
        <v>15</v>
      </c>
      <c r="E507" s="1">
        <v>7.5</v>
      </c>
      <c r="F507" s="16">
        <f>IF(Table1[[#This Row],[weekday]]&lt;6,2,0)</f>
        <v>0</v>
      </c>
    </row>
    <row r="508" spans="1:6" x14ac:dyDescent="0.35">
      <c r="A508" s="14">
        <f t="shared" si="8"/>
        <v>42876</v>
      </c>
      <c r="B508" s="2">
        <f>Table1[[#This Row],[date]]-day_zero</f>
        <v>506</v>
      </c>
      <c r="C508" s="16">
        <f>WEEKDAY(Table1[[#This Row],[date]],2 )</f>
        <v>7</v>
      </c>
      <c r="D508" s="1">
        <v>15</v>
      </c>
      <c r="E508" s="1">
        <v>7.5</v>
      </c>
      <c r="F508" s="16">
        <f>IF(Table1[[#This Row],[weekday]]&lt;6,2,0)</f>
        <v>0</v>
      </c>
    </row>
    <row r="509" spans="1:6" x14ac:dyDescent="0.35">
      <c r="A509" s="14">
        <f t="shared" si="8"/>
        <v>42877</v>
      </c>
      <c r="B509" s="2">
        <f>Table1[[#This Row],[date]]-day_zero</f>
        <v>507</v>
      </c>
      <c r="C509" s="16">
        <f>WEEKDAY(Table1[[#This Row],[date]],2 )</f>
        <v>1</v>
      </c>
      <c r="D509" s="1">
        <v>15</v>
      </c>
      <c r="E509" s="1">
        <v>7.5</v>
      </c>
      <c r="F509" s="16">
        <f>IF(Table1[[#This Row],[weekday]]&lt;6,2,0)</f>
        <v>2</v>
      </c>
    </row>
    <row r="510" spans="1:6" x14ac:dyDescent="0.35">
      <c r="A510" s="14">
        <f t="shared" si="8"/>
        <v>42878</v>
      </c>
      <c r="B510" s="2">
        <f>Table1[[#This Row],[date]]-day_zero</f>
        <v>508</v>
      </c>
      <c r="C510" s="16">
        <f>WEEKDAY(Table1[[#This Row],[date]],2 )</f>
        <v>2</v>
      </c>
      <c r="D510" s="1">
        <v>15</v>
      </c>
      <c r="E510" s="1">
        <v>7.5</v>
      </c>
      <c r="F510" s="16">
        <f>IF(Table1[[#This Row],[weekday]]&lt;6,2,0)</f>
        <v>2</v>
      </c>
    </row>
    <row r="511" spans="1:6" x14ac:dyDescent="0.35">
      <c r="A511" s="14">
        <f t="shared" si="8"/>
        <v>42879</v>
      </c>
      <c r="B511" s="2">
        <f>Table1[[#This Row],[date]]-day_zero</f>
        <v>509</v>
      </c>
      <c r="C511" s="16">
        <f>WEEKDAY(Table1[[#This Row],[date]],2 )</f>
        <v>3</v>
      </c>
      <c r="D511" s="1">
        <v>15</v>
      </c>
      <c r="E511" s="1">
        <v>7.5</v>
      </c>
      <c r="F511" s="16">
        <f>IF(Table1[[#This Row],[weekday]]&lt;6,2,0)</f>
        <v>2</v>
      </c>
    </row>
    <row r="512" spans="1:6" x14ac:dyDescent="0.35">
      <c r="A512" s="14">
        <f t="shared" si="8"/>
        <v>42880</v>
      </c>
      <c r="B512" s="2">
        <f>Table1[[#This Row],[date]]-day_zero</f>
        <v>510</v>
      </c>
      <c r="C512" s="16">
        <f>WEEKDAY(Table1[[#This Row],[date]],2 )</f>
        <v>4</v>
      </c>
      <c r="D512" s="1">
        <v>15</v>
      </c>
      <c r="E512" s="1">
        <v>7.5</v>
      </c>
      <c r="F512" s="16">
        <f>IF(Table1[[#This Row],[weekday]]&lt;6,2,0)</f>
        <v>2</v>
      </c>
    </row>
    <row r="513" spans="1:6" x14ac:dyDescent="0.35">
      <c r="A513" s="14">
        <f t="shared" si="8"/>
        <v>42881</v>
      </c>
      <c r="B513" s="2">
        <f>Table1[[#This Row],[date]]-day_zero</f>
        <v>511</v>
      </c>
      <c r="C513" s="16">
        <f>WEEKDAY(Table1[[#This Row],[date]],2 )</f>
        <v>5</v>
      </c>
      <c r="D513" s="1">
        <v>15</v>
      </c>
      <c r="E513" s="1">
        <v>7.5</v>
      </c>
      <c r="F513" s="16">
        <f>IF(Table1[[#This Row],[weekday]]&lt;6,2,0)</f>
        <v>2</v>
      </c>
    </row>
    <row r="514" spans="1:6" x14ac:dyDescent="0.35">
      <c r="A514" s="14">
        <f t="shared" si="8"/>
        <v>42882</v>
      </c>
      <c r="B514" s="2">
        <f>Table1[[#This Row],[date]]-day_zero</f>
        <v>512</v>
      </c>
      <c r="C514" s="16">
        <f>WEEKDAY(Table1[[#This Row],[date]],2 )</f>
        <v>6</v>
      </c>
      <c r="D514" s="1">
        <v>15</v>
      </c>
      <c r="E514" s="1">
        <v>7.5</v>
      </c>
      <c r="F514" s="16">
        <f>IF(Table1[[#This Row],[weekday]]&lt;6,2,0)</f>
        <v>0</v>
      </c>
    </row>
    <row r="515" spans="1:6" x14ac:dyDescent="0.35">
      <c r="A515" s="14">
        <f t="shared" si="8"/>
        <v>42883</v>
      </c>
      <c r="B515" s="2">
        <f>Table1[[#This Row],[date]]-day_zero</f>
        <v>513</v>
      </c>
      <c r="C515" s="16">
        <f>WEEKDAY(Table1[[#This Row],[date]],2 )</f>
        <v>7</v>
      </c>
      <c r="D515" s="1">
        <v>15</v>
      </c>
      <c r="E515" s="1">
        <v>7.5</v>
      </c>
      <c r="F515" s="16">
        <f>IF(Table1[[#This Row],[weekday]]&lt;6,2,0)</f>
        <v>0</v>
      </c>
    </row>
    <row r="516" spans="1:6" x14ac:dyDescent="0.35">
      <c r="A516" s="14">
        <f t="shared" si="8"/>
        <v>42884</v>
      </c>
      <c r="B516" s="2">
        <f>Table1[[#This Row],[date]]-day_zero</f>
        <v>514</v>
      </c>
      <c r="C516" s="16">
        <f>WEEKDAY(Table1[[#This Row],[date]],2 )</f>
        <v>1</v>
      </c>
      <c r="D516" s="1">
        <v>15</v>
      </c>
      <c r="E516" s="1">
        <v>7.5</v>
      </c>
      <c r="F516" s="16">
        <f>IF(Table1[[#This Row],[weekday]]&lt;6,2,0)</f>
        <v>2</v>
      </c>
    </row>
    <row r="517" spans="1:6" x14ac:dyDescent="0.35">
      <c r="A517" s="14">
        <f t="shared" si="8"/>
        <v>42885</v>
      </c>
      <c r="B517" s="2">
        <f>Table1[[#This Row],[date]]-day_zero</f>
        <v>515</v>
      </c>
      <c r="C517" s="16">
        <f>WEEKDAY(Table1[[#This Row],[date]],2 )</f>
        <v>2</v>
      </c>
      <c r="D517" s="1">
        <v>15</v>
      </c>
      <c r="E517" s="1">
        <v>7.5</v>
      </c>
      <c r="F517" s="16">
        <f>IF(Table1[[#This Row],[weekday]]&lt;6,2,0)</f>
        <v>2</v>
      </c>
    </row>
    <row r="518" spans="1:6" x14ac:dyDescent="0.35">
      <c r="A518" s="14">
        <f t="shared" si="8"/>
        <v>42886</v>
      </c>
      <c r="B518" s="2">
        <f>Table1[[#This Row],[date]]-day_zero</f>
        <v>516</v>
      </c>
      <c r="C518" s="16">
        <f>WEEKDAY(Table1[[#This Row],[date]],2 )</f>
        <v>3</v>
      </c>
      <c r="D518" s="1">
        <v>15</v>
      </c>
      <c r="E518" s="1">
        <v>7.5</v>
      </c>
      <c r="F518" s="16">
        <f>IF(Table1[[#This Row],[weekday]]&lt;6,2,0)</f>
        <v>2</v>
      </c>
    </row>
    <row r="519" spans="1:6" x14ac:dyDescent="0.35">
      <c r="A519" s="14">
        <f t="shared" si="8"/>
        <v>42887</v>
      </c>
      <c r="B519" s="2">
        <f>Table1[[#This Row],[date]]-day_zero</f>
        <v>517</v>
      </c>
      <c r="C519" s="16">
        <f>WEEKDAY(Table1[[#This Row],[date]],2 )</f>
        <v>4</v>
      </c>
      <c r="D519" s="1">
        <v>15</v>
      </c>
      <c r="E519" s="1">
        <v>7.5</v>
      </c>
      <c r="F519" s="16">
        <f>IF(Table1[[#This Row],[weekday]]&lt;6,2,0)</f>
        <v>2</v>
      </c>
    </row>
    <row r="520" spans="1:6" x14ac:dyDescent="0.35">
      <c r="A520" s="14">
        <f t="shared" si="8"/>
        <v>42888</v>
      </c>
      <c r="B520" s="2">
        <f>Table1[[#This Row],[date]]-day_zero</f>
        <v>518</v>
      </c>
      <c r="C520" s="16">
        <f>WEEKDAY(Table1[[#This Row],[date]],2 )</f>
        <v>5</v>
      </c>
      <c r="D520" s="1">
        <v>15</v>
      </c>
      <c r="E520" s="1">
        <v>7.5</v>
      </c>
      <c r="F520" s="16">
        <f>IF(Table1[[#This Row],[weekday]]&lt;6,2,0)</f>
        <v>2</v>
      </c>
    </row>
    <row r="521" spans="1:6" x14ac:dyDescent="0.35">
      <c r="A521" s="14">
        <f t="shared" si="8"/>
        <v>42889</v>
      </c>
      <c r="B521" s="2">
        <f>Table1[[#This Row],[date]]-day_zero</f>
        <v>519</v>
      </c>
      <c r="C521" s="16">
        <f>WEEKDAY(Table1[[#This Row],[date]],2 )</f>
        <v>6</v>
      </c>
      <c r="D521" s="1">
        <v>15</v>
      </c>
      <c r="E521" s="1">
        <v>7.5</v>
      </c>
      <c r="F521" s="16">
        <f>IF(Table1[[#This Row],[weekday]]&lt;6,2,0)</f>
        <v>0</v>
      </c>
    </row>
    <row r="522" spans="1:6" x14ac:dyDescent="0.35">
      <c r="A522" s="14">
        <f t="shared" si="8"/>
        <v>42890</v>
      </c>
      <c r="B522" s="2">
        <f>Table1[[#This Row],[date]]-day_zero</f>
        <v>520</v>
      </c>
      <c r="C522" s="16">
        <f>WEEKDAY(Table1[[#This Row],[date]],2 )</f>
        <v>7</v>
      </c>
      <c r="D522" s="1">
        <v>15</v>
      </c>
      <c r="E522" s="1">
        <v>7.5</v>
      </c>
      <c r="F522" s="16">
        <f>IF(Table1[[#This Row],[weekday]]&lt;6,2,0)</f>
        <v>0</v>
      </c>
    </row>
    <row r="523" spans="1:6" x14ac:dyDescent="0.35">
      <c r="A523" s="14">
        <f t="shared" si="8"/>
        <v>42891</v>
      </c>
      <c r="B523" s="2">
        <f>Table1[[#This Row],[date]]-day_zero</f>
        <v>521</v>
      </c>
      <c r="C523" s="16">
        <f>WEEKDAY(Table1[[#This Row],[date]],2 )</f>
        <v>1</v>
      </c>
      <c r="D523" s="1">
        <v>15</v>
      </c>
      <c r="E523" s="1">
        <v>7.5</v>
      </c>
      <c r="F523" s="16">
        <f>IF(Table1[[#This Row],[weekday]]&lt;6,2,0)</f>
        <v>2</v>
      </c>
    </row>
    <row r="524" spans="1:6" x14ac:dyDescent="0.35">
      <c r="A524" s="14">
        <f t="shared" ref="A524:A587" si="9">A523+1</f>
        <v>42892</v>
      </c>
      <c r="B524" s="2">
        <f>Table1[[#This Row],[date]]-day_zero</f>
        <v>522</v>
      </c>
      <c r="C524" s="16">
        <f>WEEKDAY(Table1[[#This Row],[date]],2 )</f>
        <v>2</v>
      </c>
      <c r="D524" s="1">
        <v>15</v>
      </c>
      <c r="E524" s="1">
        <v>7.5</v>
      </c>
      <c r="F524" s="16">
        <f>IF(Table1[[#This Row],[weekday]]&lt;6,2,0)</f>
        <v>2</v>
      </c>
    </row>
    <row r="525" spans="1:6" x14ac:dyDescent="0.35">
      <c r="A525" s="14">
        <f t="shared" si="9"/>
        <v>42893</v>
      </c>
      <c r="B525" s="2">
        <f>Table1[[#This Row],[date]]-day_zero</f>
        <v>523</v>
      </c>
      <c r="C525" s="16">
        <f>WEEKDAY(Table1[[#This Row],[date]],2 )</f>
        <v>3</v>
      </c>
      <c r="D525" s="1">
        <v>15</v>
      </c>
      <c r="E525" s="1">
        <v>7.5</v>
      </c>
      <c r="F525" s="16">
        <f>IF(Table1[[#This Row],[weekday]]&lt;6,2,0)</f>
        <v>2</v>
      </c>
    </row>
    <row r="526" spans="1:6" x14ac:dyDescent="0.35">
      <c r="A526" s="14">
        <f t="shared" si="9"/>
        <v>42894</v>
      </c>
      <c r="B526" s="2">
        <f>Table1[[#This Row],[date]]-day_zero</f>
        <v>524</v>
      </c>
      <c r="C526" s="16">
        <f>WEEKDAY(Table1[[#This Row],[date]],2 )</f>
        <v>4</v>
      </c>
      <c r="D526" s="1">
        <v>15</v>
      </c>
      <c r="E526" s="1">
        <v>7.5</v>
      </c>
      <c r="F526" s="16">
        <f>IF(Table1[[#This Row],[weekday]]&lt;6,2,0)</f>
        <v>2</v>
      </c>
    </row>
    <row r="527" spans="1:6" x14ac:dyDescent="0.35">
      <c r="A527" s="14">
        <f t="shared" si="9"/>
        <v>42895</v>
      </c>
      <c r="B527" s="2">
        <f>Table1[[#This Row],[date]]-day_zero</f>
        <v>525</v>
      </c>
      <c r="C527" s="16">
        <f>WEEKDAY(Table1[[#This Row],[date]],2 )</f>
        <v>5</v>
      </c>
      <c r="D527" s="1">
        <v>15</v>
      </c>
      <c r="E527" s="1">
        <v>7.5</v>
      </c>
      <c r="F527" s="16">
        <f>IF(Table1[[#This Row],[weekday]]&lt;6,2,0)</f>
        <v>2</v>
      </c>
    </row>
    <row r="528" spans="1:6" x14ac:dyDescent="0.35">
      <c r="A528" s="14">
        <f t="shared" si="9"/>
        <v>42896</v>
      </c>
      <c r="B528" s="2">
        <f>Table1[[#This Row],[date]]-day_zero</f>
        <v>526</v>
      </c>
      <c r="C528" s="16">
        <f>WEEKDAY(Table1[[#This Row],[date]],2 )</f>
        <v>6</v>
      </c>
      <c r="D528" s="1">
        <v>15</v>
      </c>
      <c r="E528" s="1">
        <v>7.5</v>
      </c>
      <c r="F528" s="16">
        <f>IF(Table1[[#This Row],[weekday]]&lt;6,2,0)</f>
        <v>0</v>
      </c>
    </row>
    <row r="529" spans="1:6" x14ac:dyDescent="0.35">
      <c r="A529" s="14">
        <f t="shared" si="9"/>
        <v>42897</v>
      </c>
      <c r="B529" s="2">
        <f>Table1[[#This Row],[date]]-day_zero</f>
        <v>527</v>
      </c>
      <c r="C529" s="16">
        <f>WEEKDAY(Table1[[#This Row],[date]],2 )</f>
        <v>7</v>
      </c>
      <c r="D529" s="1">
        <v>15</v>
      </c>
      <c r="E529" s="1">
        <v>7.5</v>
      </c>
      <c r="F529" s="16">
        <f>IF(Table1[[#This Row],[weekday]]&lt;6,2,0)</f>
        <v>0</v>
      </c>
    </row>
    <row r="530" spans="1:6" x14ac:dyDescent="0.35">
      <c r="A530" s="14">
        <f t="shared" si="9"/>
        <v>42898</v>
      </c>
      <c r="B530" s="2">
        <f>Table1[[#This Row],[date]]-day_zero</f>
        <v>528</v>
      </c>
      <c r="C530" s="16">
        <f>WEEKDAY(Table1[[#This Row],[date]],2 )</f>
        <v>1</v>
      </c>
      <c r="D530" s="1">
        <v>15</v>
      </c>
      <c r="E530" s="1">
        <v>7.5</v>
      </c>
      <c r="F530" s="16">
        <f>IF(Table1[[#This Row],[weekday]]&lt;6,2,0)</f>
        <v>2</v>
      </c>
    </row>
    <row r="531" spans="1:6" x14ac:dyDescent="0.35">
      <c r="A531" s="14">
        <f t="shared" si="9"/>
        <v>42899</v>
      </c>
      <c r="B531" s="2">
        <f>Table1[[#This Row],[date]]-day_zero</f>
        <v>529</v>
      </c>
      <c r="C531" s="16">
        <f>WEEKDAY(Table1[[#This Row],[date]],2 )</f>
        <v>2</v>
      </c>
      <c r="D531" s="1">
        <v>15</v>
      </c>
      <c r="E531" s="1">
        <v>7.5</v>
      </c>
      <c r="F531" s="16">
        <f>IF(Table1[[#This Row],[weekday]]&lt;6,2,0)</f>
        <v>2</v>
      </c>
    </row>
    <row r="532" spans="1:6" x14ac:dyDescent="0.35">
      <c r="A532" s="14">
        <f t="shared" si="9"/>
        <v>42900</v>
      </c>
      <c r="B532" s="2">
        <f>Table1[[#This Row],[date]]-day_zero</f>
        <v>530</v>
      </c>
      <c r="C532" s="16">
        <f>WEEKDAY(Table1[[#This Row],[date]],2 )</f>
        <v>3</v>
      </c>
      <c r="D532" s="1">
        <v>15</v>
      </c>
      <c r="E532" s="1">
        <v>7.5</v>
      </c>
      <c r="F532" s="16">
        <f>IF(Table1[[#This Row],[weekday]]&lt;6,2,0)</f>
        <v>2</v>
      </c>
    </row>
    <row r="533" spans="1:6" x14ac:dyDescent="0.35">
      <c r="A533" s="14">
        <f t="shared" si="9"/>
        <v>42901</v>
      </c>
      <c r="B533" s="2">
        <f>Table1[[#This Row],[date]]-day_zero</f>
        <v>531</v>
      </c>
      <c r="C533" s="16">
        <f>WEEKDAY(Table1[[#This Row],[date]],2 )</f>
        <v>4</v>
      </c>
      <c r="D533" s="1">
        <v>15</v>
      </c>
      <c r="E533" s="1">
        <v>7.5</v>
      </c>
      <c r="F533" s="16">
        <f>IF(Table1[[#This Row],[weekday]]&lt;6,2,0)</f>
        <v>2</v>
      </c>
    </row>
    <row r="534" spans="1:6" x14ac:dyDescent="0.35">
      <c r="A534" s="14">
        <f t="shared" si="9"/>
        <v>42902</v>
      </c>
      <c r="B534" s="2">
        <f>Table1[[#This Row],[date]]-day_zero</f>
        <v>532</v>
      </c>
      <c r="C534" s="16">
        <f>WEEKDAY(Table1[[#This Row],[date]],2 )</f>
        <v>5</v>
      </c>
      <c r="D534" s="1">
        <v>15</v>
      </c>
      <c r="E534" s="1">
        <v>7.5</v>
      </c>
      <c r="F534" s="16">
        <f>IF(Table1[[#This Row],[weekday]]&lt;6,2,0)</f>
        <v>2</v>
      </c>
    </row>
    <row r="535" spans="1:6" x14ac:dyDescent="0.35">
      <c r="A535" s="14">
        <f t="shared" si="9"/>
        <v>42903</v>
      </c>
      <c r="B535" s="2">
        <f>Table1[[#This Row],[date]]-day_zero</f>
        <v>533</v>
      </c>
      <c r="C535" s="16">
        <f>WEEKDAY(Table1[[#This Row],[date]],2 )</f>
        <v>6</v>
      </c>
      <c r="D535" s="1">
        <v>15</v>
      </c>
      <c r="E535" s="1">
        <v>7.5</v>
      </c>
      <c r="F535" s="16">
        <f>IF(Table1[[#This Row],[weekday]]&lt;6,2,0)</f>
        <v>0</v>
      </c>
    </row>
    <row r="536" spans="1:6" x14ac:dyDescent="0.35">
      <c r="A536" s="14">
        <f t="shared" si="9"/>
        <v>42904</v>
      </c>
      <c r="B536" s="2">
        <f>Table1[[#This Row],[date]]-day_zero</f>
        <v>534</v>
      </c>
      <c r="C536" s="16">
        <f>WEEKDAY(Table1[[#This Row],[date]],2 )</f>
        <v>7</v>
      </c>
      <c r="D536" s="1">
        <v>15</v>
      </c>
      <c r="E536" s="1">
        <v>7.5</v>
      </c>
      <c r="F536" s="16">
        <f>IF(Table1[[#This Row],[weekday]]&lt;6,2,0)</f>
        <v>0</v>
      </c>
    </row>
    <row r="537" spans="1:6" x14ac:dyDescent="0.35">
      <c r="A537" s="14">
        <f t="shared" si="9"/>
        <v>42905</v>
      </c>
      <c r="B537" s="2">
        <f>Table1[[#This Row],[date]]-day_zero</f>
        <v>535</v>
      </c>
      <c r="C537" s="16">
        <f>WEEKDAY(Table1[[#This Row],[date]],2 )</f>
        <v>1</v>
      </c>
      <c r="D537" s="1">
        <v>15</v>
      </c>
      <c r="E537" s="1">
        <v>7.5</v>
      </c>
      <c r="F537" s="16">
        <f>IF(Table1[[#This Row],[weekday]]&lt;6,2,0)</f>
        <v>2</v>
      </c>
    </row>
    <row r="538" spans="1:6" x14ac:dyDescent="0.35">
      <c r="A538" s="14">
        <f t="shared" si="9"/>
        <v>42906</v>
      </c>
      <c r="B538" s="2">
        <f>Table1[[#This Row],[date]]-day_zero</f>
        <v>536</v>
      </c>
      <c r="C538" s="16">
        <f>WEEKDAY(Table1[[#This Row],[date]],2 )</f>
        <v>2</v>
      </c>
      <c r="D538" s="1">
        <v>15</v>
      </c>
      <c r="E538" s="1">
        <v>7.5</v>
      </c>
      <c r="F538" s="16">
        <f>IF(Table1[[#This Row],[weekday]]&lt;6,2,0)</f>
        <v>2</v>
      </c>
    </row>
    <row r="539" spans="1:6" x14ac:dyDescent="0.35">
      <c r="A539" s="14">
        <f t="shared" si="9"/>
        <v>42907</v>
      </c>
      <c r="B539" s="2">
        <f>Table1[[#This Row],[date]]-day_zero</f>
        <v>537</v>
      </c>
      <c r="C539" s="16">
        <f>WEEKDAY(Table1[[#This Row],[date]],2 )</f>
        <v>3</v>
      </c>
      <c r="D539" s="1">
        <v>15</v>
      </c>
      <c r="E539" s="1">
        <v>7.5</v>
      </c>
      <c r="F539" s="16">
        <f>IF(Table1[[#This Row],[weekday]]&lt;6,2,0)</f>
        <v>2</v>
      </c>
    </row>
    <row r="540" spans="1:6" x14ac:dyDescent="0.35">
      <c r="A540" s="14">
        <f t="shared" si="9"/>
        <v>42908</v>
      </c>
      <c r="B540" s="2">
        <f>Table1[[#This Row],[date]]-day_zero</f>
        <v>538</v>
      </c>
      <c r="C540" s="16">
        <f>WEEKDAY(Table1[[#This Row],[date]],2 )</f>
        <v>4</v>
      </c>
      <c r="D540" s="1">
        <v>15</v>
      </c>
      <c r="E540" s="1">
        <v>7.5</v>
      </c>
      <c r="F540" s="16">
        <f>IF(Table1[[#This Row],[weekday]]&lt;6,2,0)</f>
        <v>2</v>
      </c>
    </row>
    <row r="541" spans="1:6" x14ac:dyDescent="0.35">
      <c r="A541" s="14">
        <f t="shared" si="9"/>
        <v>42909</v>
      </c>
      <c r="B541" s="2">
        <f>Table1[[#This Row],[date]]-day_zero</f>
        <v>539</v>
      </c>
      <c r="C541" s="16">
        <f>WEEKDAY(Table1[[#This Row],[date]],2 )</f>
        <v>5</v>
      </c>
      <c r="D541" s="1">
        <v>15</v>
      </c>
      <c r="E541" s="1">
        <v>7.5</v>
      </c>
      <c r="F541" s="16">
        <f>IF(Table1[[#This Row],[weekday]]&lt;6,2,0)</f>
        <v>2</v>
      </c>
    </row>
    <row r="542" spans="1:6" x14ac:dyDescent="0.35">
      <c r="A542" s="14">
        <f t="shared" si="9"/>
        <v>42910</v>
      </c>
      <c r="B542" s="2">
        <f>Table1[[#This Row],[date]]-day_zero</f>
        <v>540</v>
      </c>
      <c r="C542" s="16">
        <f>WEEKDAY(Table1[[#This Row],[date]],2 )</f>
        <v>6</v>
      </c>
      <c r="D542" s="1">
        <v>15</v>
      </c>
      <c r="E542" s="1">
        <v>7.5</v>
      </c>
      <c r="F542" s="16">
        <f>IF(Table1[[#This Row],[weekday]]&lt;6,2,0)</f>
        <v>0</v>
      </c>
    </row>
    <row r="543" spans="1:6" x14ac:dyDescent="0.35">
      <c r="A543" s="14">
        <f t="shared" si="9"/>
        <v>42911</v>
      </c>
      <c r="B543" s="2">
        <f>Table1[[#This Row],[date]]-day_zero</f>
        <v>541</v>
      </c>
      <c r="C543" s="16">
        <f>WEEKDAY(Table1[[#This Row],[date]],2 )</f>
        <v>7</v>
      </c>
      <c r="D543" s="1">
        <v>15</v>
      </c>
      <c r="E543" s="1">
        <v>7.5</v>
      </c>
      <c r="F543" s="16">
        <f>IF(Table1[[#This Row],[weekday]]&lt;6,2,0)</f>
        <v>0</v>
      </c>
    </row>
    <row r="544" spans="1:6" x14ac:dyDescent="0.35">
      <c r="A544" s="14">
        <f t="shared" si="9"/>
        <v>42912</v>
      </c>
      <c r="B544" s="2">
        <f>Table1[[#This Row],[date]]-day_zero</f>
        <v>542</v>
      </c>
      <c r="C544" s="16">
        <f>WEEKDAY(Table1[[#This Row],[date]],2 )</f>
        <v>1</v>
      </c>
      <c r="D544" s="1">
        <v>15</v>
      </c>
      <c r="E544" s="1">
        <v>7.5</v>
      </c>
      <c r="F544" s="16">
        <f>IF(Table1[[#This Row],[weekday]]&lt;6,2,0)</f>
        <v>2</v>
      </c>
    </row>
    <row r="545" spans="1:6" x14ac:dyDescent="0.35">
      <c r="A545" s="14">
        <f t="shared" si="9"/>
        <v>42913</v>
      </c>
      <c r="B545" s="2">
        <f>Table1[[#This Row],[date]]-day_zero</f>
        <v>543</v>
      </c>
      <c r="C545" s="16">
        <f>WEEKDAY(Table1[[#This Row],[date]],2 )</f>
        <v>2</v>
      </c>
      <c r="D545" s="1">
        <v>15</v>
      </c>
      <c r="E545" s="1">
        <v>7.5</v>
      </c>
      <c r="F545" s="16">
        <f>IF(Table1[[#This Row],[weekday]]&lt;6,2,0)</f>
        <v>2</v>
      </c>
    </row>
    <row r="546" spans="1:6" x14ac:dyDescent="0.35">
      <c r="A546" s="14">
        <f t="shared" si="9"/>
        <v>42914</v>
      </c>
      <c r="B546" s="2">
        <f>Table1[[#This Row],[date]]-day_zero</f>
        <v>544</v>
      </c>
      <c r="C546" s="16">
        <f>WEEKDAY(Table1[[#This Row],[date]],2 )</f>
        <v>3</v>
      </c>
      <c r="D546" s="1">
        <v>15</v>
      </c>
      <c r="E546" s="1">
        <v>7.5</v>
      </c>
      <c r="F546" s="16">
        <f>IF(Table1[[#This Row],[weekday]]&lt;6,2,0)</f>
        <v>2</v>
      </c>
    </row>
    <row r="547" spans="1:6" x14ac:dyDescent="0.35">
      <c r="A547" s="14">
        <f t="shared" si="9"/>
        <v>42915</v>
      </c>
      <c r="B547" s="2">
        <f>Table1[[#This Row],[date]]-day_zero</f>
        <v>545</v>
      </c>
      <c r="C547" s="16">
        <f>WEEKDAY(Table1[[#This Row],[date]],2 )</f>
        <v>4</v>
      </c>
      <c r="D547" s="1">
        <v>15</v>
      </c>
      <c r="E547" s="1">
        <v>7.5</v>
      </c>
      <c r="F547" s="16">
        <f>IF(Table1[[#This Row],[weekday]]&lt;6,2,0)</f>
        <v>2</v>
      </c>
    </row>
    <row r="548" spans="1:6" x14ac:dyDescent="0.35">
      <c r="A548" s="14">
        <f t="shared" si="9"/>
        <v>42916</v>
      </c>
      <c r="B548" s="2">
        <f>Table1[[#This Row],[date]]-day_zero</f>
        <v>546</v>
      </c>
      <c r="C548" s="16">
        <f>WEEKDAY(Table1[[#This Row],[date]],2 )</f>
        <v>5</v>
      </c>
      <c r="D548" s="1">
        <v>15</v>
      </c>
      <c r="E548" s="1">
        <v>7.5</v>
      </c>
      <c r="F548" s="16">
        <f>IF(Table1[[#This Row],[weekday]]&lt;6,2,0)</f>
        <v>2</v>
      </c>
    </row>
    <row r="549" spans="1:6" x14ac:dyDescent="0.35">
      <c r="A549" s="14">
        <f t="shared" si="9"/>
        <v>42917</v>
      </c>
      <c r="B549" s="2">
        <f>Table1[[#This Row],[date]]-day_zero</f>
        <v>547</v>
      </c>
      <c r="C549" s="16">
        <f>WEEKDAY(Table1[[#This Row],[date]],2 )</f>
        <v>6</v>
      </c>
      <c r="D549" s="1">
        <v>15</v>
      </c>
      <c r="E549" s="1">
        <v>7.5</v>
      </c>
      <c r="F549" s="16">
        <f>IF(Table1[[#This Row],[weekday]]&lt;6,2,0)</f>
        <v>0</v>
      </c>
    </row>
    <row r="550" spans="1:6" x14ac:dyDescent="0.35">
      <c r="A550" s="14">
        <f t="shared" si="9"/>
        <v>42918</v>
      </c>
      <c r="B550" s="2">
        <f>Table1[[#This Row],[date]]-day_zero</f>
        <v>548</v>
      </c>
      <c r="C550" s="16">
        <f>WEEKDAY(Table1[[#This Row],[date]],2 )</f>
        <v>7</v>
      </c>
      <c r="D550" s="1">
        <v>15</v>
      </c>
      <c r="E550" s="1">
        <v>7.5</v>
      </c>
      <c r="F550" s="16">
        <f>IF(Table1[[#This Row],[weekday]]&lt;6,2,0)</f>
        <v>0</v>
      </c>
    </row>
    <row r="551" spans="1:6" x14ac:dyDescent="0.35">
      <c r="A551" s="14">
        <f t="shared" si="9"/>
        <v>42919</v>
      </c>
      <c r="B551" s="2">
        <f>Table1[[#This Row],[date]]-day_zero</f>
        <v>549</v>
      </c>
      <c r="C551" s="16">
        <f>WEEKDAY(Table1[[#This Row],[date]],2 )</f>
        <v>1</v>
      </c>
      <c r="D551" s="1">
        <v>15</v>
      </c>
      <c r="E551" s="1">
        <v>7.5</v>
      </c>
      <c r="F551" s="16">
        <f>IF(Table1[[#This Row],[weekday]]&lt;6,2,0)</f>
        <v>2</v>
      </c>
    </row>
    <row r="552" spans="1:6" x14ac:dyDescent="0.35">
      <c r="A552" s="14">
        <f t="shared" si="9"/>
        <v>42920</v>
      </c>
      <c r="B552" s="2">
        <f>Table1[[#This Row],[date]]-day_zero</f>
        <v>550</v>
      </c>
      <c r="C552" s="16">
        <f>WEEKDAY(Table1[[#This Row],[date]],2 )</f>
        <v>2</v>
      </c>
      <c r="D552" s="1">
        <v>15</v>
      </c>
      <c r="E552" s="1">
        <v>7.5</v>
      </c>
      <c r="F552" s="16">
        <f>IF(Table1[[#This Row],[weekday]]&lt;6,2,0)</f>
        <v>2</v>
      </c>
    </row>
    <row r="553" spans="1:6" x14ac:dyDescent="0.35">
      <c r="A553" s="14">
        <f t="shared" si="9"/>
        <v>42921</v>
      </c>
      <c r="B553" s="2">
        <f>Table1[[#This Row],[date]]-day_zero</f>
        <v>551</v>
      </c>
      <c r="C553" s="16">
        <f>WEEKDAY(Table1[[#This Row],[date]],2 )</f>
        <v>3</v>
      </c>
      <c r="D553" s="1">
        <v>15</v>
      </c>
      <c r="E553" s="1">
        <v>7.5</v>
      </c>
      <c r="F553" s="16">
        <f>IF(Table1[[#This Row],[weekday]]&lt;6,2,0)</f>
        <v>2</v>
      </c>
    </row>
    <row r="554" spans="1:6" x14ac:dyDescent="0.35">
      <c r="A554" s="14">
        <f t="shared" si="9"/>
        <v>42922</v>
      </c>
      <c r="B554" s="2">
        <f>Table1[[#This Row],[date]]-day_zero</f>
        <v>552</v>
      </c>
      <c r="C554" s="16">
        <f>WEEKDAY(Table1[[#This Row],[date]],2 )</f>
        <v>4</v>
      </c>
      <c r="D554" s="1">
        <v>15</v>
      </c>
      <c r="E554" s="1">
        <v>7.5</v>
      </c>
      <c r="F554" s="16">
        <f>IF(Table1[[#This Row],[weekday]]&lt;6,2,0)</f>
        <v>2</v>
      </c>
    </row>
    <row r="555" spans="1:6" x14ac:dyDescent="0.35">
      <c r="A555" s="14">
        <f t="shared" si="9"/>
        <v>42923</v>
      </c>
      <c r="B555" s="2">
        <f>Table1[[#This Row],[date]]-day_zero</f>
        <v>553</v>
      </c>
      <c r="C555" s="16">
        <f>WEEKDAY(Table1[[#This Row],[date]],2 )</f>
        <v>5</v>
      </c>
      <c r="D555" s="1">
        <v>15</v>
      </c>
      <c r="E555" s="1">
        <v>7.5</v>
      </c>
      <c r="F555" s="16">
        <f>IF(Table1[[#This Row],[weekday]]&lt;6,2,0)</f>
        <v>2</v>
      </c>
    </row>
    <row r="556" spans="1:6" x14ac:dyDescent="0.35">
      <c r="A556" s="14">
        <f t="shared" si="9"/>
        <v>42924</v>
      </c>
      <c r="B556" s="2">
        <f>Table1[[#This Row],[date]]-day_zero</f>
        <v>554</v>
      </c>
      <c r="C556" s="16">
        <f>WEEKDAY(Table1[[#This Row],[date]],2 )</f>
        <v>6</v>
      </c>
      <c r="D556" s="1">
        <v>15</v>
      </c>
      <c r="E556" s="1">
        <v>7.5</v>
      </c>
      <c r="F556" s="16">
        <f>IF(Table1[[#This Row],[weekday]]&lt;6,2,0)</f>
        <v>0</v>
      </c>
    </row>
    <row r="557" spans="1:6" x14ac:dyDescent="0.35">
      <c r="A557" s="14">
        <f t="shared" si="9"/>
        <v>42925</v>
      </c>
      <c r="B557" s="2">
        <f>Table1[[#This Row],[date]]-day_zero</f>
        <v>555</v>
      </c>
      <c r="C557" s="16">
        <f>WEEKDAY(Table1[[#This Row],[date]],2 )</f>
        <v>7</v>
      </c>
      <c r="D557" s="1">
        <v>15</v>
      </c>
      <c r="E557" s="1">
        <v>7.5</v>
      </c>
      <c r="F557" s="16">
        <f>IF(Table1[[#This Row],[weekday]]&lt;6,2,0)</f>
        <v>0</v>
      </c>
    </row>
    <row r="558" spans="1:6" x14ac:dyDescent="0.35">
      <c r="A558" s="14">
        <f t="shared" si="9"/>
        <v>42926</v>
      </c>
      <c r="B558" s="2">
        <f>Table1[[#This Row],[date]]-day_zero</f>
        <v>556</v>
      </c>
      <c r="C558" s="16">
        <f>WEEKDAY(Table1[[#This Row],[date]],2 )</f>
        <v>1</v>
      </c>
      <c r="D558" s="1">
        <v>15</v>
      </c>
      <c r="E558" s="1">
        <v>7.5</v>
      </c>
      <c r="F558" s="16">
        <f>IF(Table1[[#This Row],[weekday]]&lt;6,2,0)</f>
        <v>2</v>
      </c>
    </row>
    <row r="559" spans="1:6" x14ac:dyDescent="0.35">
      <c r="A559" s="14">
        <f t="shared" si="9"/>
        <v>42927</v>
      </c>
      <c r="B559" s="2">
        <f>Table1[[#This Row],[date]]-day_zero</f>
        <v>557</v>
      </c>
      <c r="C559" s="16">
        <f>WEEKDAY(Table1[[#This Row],[date]],2 )</f>
        <v>2</v>
      </c>
      <c r="D559" s="1">
        <v>15</v>
      </c>
      <c r="E559" s="1">
        <v>7.5</v>
      </c>
      <c r="F559" s="16">
        <f>IF(Table1[[#This Row],[weekday]]&lt;6,2,0)</f>
        <v>2</v>
      </c>
    </row>
    <row r="560" spans="1:6" x14ac:dyDescent="0.35">
      <c r="A560" s="14">
        <f t="shared" si="9"/>
        <v>42928</v>
      </c>
      <c r="B560" s="2">
        <f>Table1[[#This Row],[date]]-day_zero</f>
        <v>558</v>
      </c>
      <c r="C560" s="16">
        <f>WEEKDAY(Table1[[#This Row],[date]],2 )</f>
        <v>3</v>
      </c>
      <c r="D560" s="1">
        <v>15</v>
      </c>
      <c r="E560" s="1">
        <v>7.5</v>
      </c>
      <c r="F560" s="16">
        <f>IF(Table1[[#This Row],[weekday]]&lt;6,2,0)</f>
        <v>2</v>
      </c>
    </row>
    <row r="561" spans="1:6" x14ac:dyDescent="0.35">
      <c r="A561" s="14">
        <f t="shared" si="9"/>
        <v>42929</v>
      </c>
      <c r="B561" s="2">
        <f>Table1[[#This Row],[date]]-day_zero</f>
        <v>559</v>
      </c>
      <c r="C561" s="16">
        <f>WEEKDAY(Table1[[#This Row],[date]],2 )</f>
        <v>4</v>
      </c>
      <c r="D561" s="1">
        <v>15</v>
      </c>
      <c r="E561" s="1">
        <v>7.5</v>
      </c>
      <c r="F561" s="16">
        <f>IF(Table1[[#This Row],[weekday]]&lt;6,2,0)</f>
        <v>2</v>
      </c>
    </row>
    <row r="562" spans="1:6" x14ac:dyDescent="0.35">
      <c r="A562" s="14">
        <f t="shared" si="9"/>
        <v>42930</v>
      </c>
      <c r="B562" s="2">
        <f>Table1[[#This Row],[date]]-day_zero</f>
        <v>560</v>
      </c>
      <c r="C562" s="16">
        <f>WEEKDAY(Table1[[#This Row],[date]],2 )</f>
        <v>5</v>
      </c>
      <c r="D562" s="1">
        <v>15</v>
      </c>
      <c r="E562" s="1">
        <v>7.5</v>
      </c>
      <c r="F562" s="16">
        <f>IF(Table1[[#This Row],[weekday]]&lt;6,2,0)</f>
        <v>2</v>
      </c>
    </row>
    <row r="563" spans="1:6" x14ac:dyDescent="0.35">
      <c r="A563" s="14">
        <f t="shared" si="9"/>
        <v>42931</v>
      </c>
      <c r="B563" s="2">
        <f>Table1[[#This Row],[date]]-day_zero</f>
        <v>561</v>
      </c>
      <c r="C563" s="16">
        <f>WEEKDAY(Table1[[#This Row],[date]],2 )</f>
        <v>6</v>
      </c>
      <c r="D563" s="1">
        <v>15</v>
      </c>
      <c r="E563" s="1">
        <v>7.5</v>
      </c>
      <c r="F563" s="16">
        <f>IF(Table1[[#This Row],[weekday]]&lt;6,2,0)</f>
        <v>0</v>
      </c>
    </row>
    <row r="564" spans="1:6" x14ac:dyDescent="0.35">
      <c r="A564" s="14">
        <f t="shared" si="9"/>
        <v>42932</v>
      </c>
      <c r="B564" s="2">
        <f>Table1[[#This Row],[date]]-day_zero</f>
        <v>562</v>
      </c>
      <c r="C564" s="16">
        <f>WEEKDAY(Table1[[#This Row],[date]],2 )</f>
        <v>7</v>
      </c>
      <c r="D564" s="1">
        <v>15</v>
      </c>
      <c r="E564" s="1">
        <v>7.5</v>
      </c>
      <c r="F564" s="16">
        <f>IF(Table1[[#This Row],[weekday]]&lt;6,2,0)</f>
        <v>0</v>
      </c>
    </row>
    <row r="565" spans="1:6" x14ac:dyDescent="0.35">
      <c r="A565" s="14">
        <f t="shared" si="9"/>
        <v>42933</v>
      </c>
      <c r="B565" s="2">
        <f>Table1[[#This Row],[date]]-day_zero</f>
        <v>563</v>
      </c>
      <c r="C565" s="16">
        <f>WEEKDAY(Table1[[#This Row],[date]],2 )</f>
        <v>1</v>
      </c>
      <c r="D565" s="1">
        <v>15</v>
      </c>
      <c r="E565" s="1">
        <v>7.5</v>
      </c>
      <c r="F565" s="16">
        <f>IF(Table1[[#This Row],[weekday]]&lt;6,2,0)</f>
        <v>2</v>
      </c>
    </row>
    <row r="566" spans="1:6" x14ac:dyDescent="0.35">
      <c r="A566" s="14">
        <f t="shared" si="9"/>
        <v>42934</v>
      </c>
      <c r="B566" s="2">
        <f>Table1[[#This Row],[date]]-day_zero</f>
        <v>564</v>
      </c>
      <c r="C566" s="16">
        <f>WEEKDAY(Table1[[#This Row],[date]],2 )</f>
        <v>2</v>
      </c>
      <c r="D566" s="1">
        <v>15</v>
      </c>
      <c r="E566" s="1">
        <v>7.5</v>
      </c>
      <c r="F566" s="16">
        <f>IF(Table1[[#This Row],[weekday]]&lt;6,2,0)</f>
        <v>2</v>
      </c>
    </row>
    <row r="567" spans="1:6" x14ac:dyDescent="0.35">
      <c r="A567" s="14">
        <f t="shared" si="9"/>
        <v>42935</v>
      </c>
      <c r="B567" s="2">
        <f>Table1[[#This Row],[date]]-day_zero</f>
        <v>565</v>
      </c>
      <c r="C567" s="16">
        <f>WEEKDAY(Table1[[#This Row],[date]],2 )</f>
        <v>3</v>
      </c>
      <c r="D567" s="1">
        <v>15</v>
      </c>
      <c r="E567" s="1">
        <v>7.5</v>
      </c>
      <c r="F567" s="16">
        <f>IF(Table1[[#This Row],[weekday]]&lt;6,2,0)</f>
        <v>2</v>
      </c>
    </row>
    <row r="568" spans="1:6" x14ac:dyDescent="0.35">
      <c r="A568" s="14">
        <f t="shared" si="9"/>
        <v>42936</v>
      </c>
      <c r="B568" s="2">
        <f>Table1[[#This Row],[date]]-day_zero</f>
        <v>566</v>
      </c>
      <c r="C568" s="16">
        <f>WEEKDAY(Table1[[#This Row],[date]],2 )</f>
        <v>4</v>
      </c>
      <c r="D568" s="1">
        <v>15</v>
      </c>
      <c r="E568" s="1">
        <v>7.5</v>
      </c>
      <c r="F568" s="16">
        <f>IF(Table1[[#This Row],[weekday]]&lt;6,2,0)</f>
        <v>2</v>
      </c>
    </row>
    <row r="569" spans="1:6" x14ac:dyDescent="0.35">
      <c r="A569" s="14">
        <f t="shared" si="9"/>
        <v>42937</v>
      </c>
      <c r="B569" s="2">
        <f>Table1[[#This Row],[date]]-day_zero</f>
        <v>567</v>
      </c>
      <c r="C569" s="16">
        <f>WEEKDAY(Table1[[#This Row],[date]],2 )</f>
        <v>5</v>
      </c>
      <c r="D569" s="1">
        <v>15</v>
      </c>
      <c r="E569" s="1">
        <v>7.5</v>
      </c>
      <c r="F569" s="16">
        <f>IF(Table1[[#This Row],[weekday]]&lt;6,2,0)</f>
        <v>2</v>
      </c>
    </row>
    <row r="570" spans="1:6" x14ac:dyDescent="0.35">
      <c r="A570" s="14">
        <f t="shared" si="9"/>
        <v>42938</v>
      </c>
      <c r="B570" s="2">
        <f>Table1[[#This Row],[date]]-day_zero</f>
        <v>568</v>
      </c>
      <c r="C570" s="16">
        <f>WEEKDAY(Table1[[#This Row],[date]],2 )</f>
        <v>6</v>
      </c>
      <c r="D570" s="1">
        <v>15</v>
      </c>
      <c r="E570" s="1">
        <v>7.5</v>
      </c>
      <c r="F570" s="16">
        <f>IF(Table1[[#This Row],[weekday]]&lt;6,2,0)</f>
        <v>0</v>
      </c>
    </row>
    <row r="571" spans="1:6" x14ac:dyDescent="0.35">
      <c r="A571" s="14">
        <f t="shared" si="9"/>
        <v>42939</v>
      </c>
      <c r="B571" s="2">
        <f>Table1[[#This Row],[date]]-day_zero</f>
        <v>569</v>
      </c>
      <c r="C571" s="16">
        <f>WEEKDAY(Table1[[#This Row],[date]],2 )</f>
        <v>7</v>
      </c>
      <c r="D571" s="1">
        <v>15</v>
      </c>
      <c r="E571" s="1">
        <v>7.5</v>
      </c>
      <c r="F571" s="16">
        <f>IF(Table1[[#This Row],[weekday]]&lt;6,2,0)</f>
        <v>0</v>
      </c>
    </row>
    <row r="572" spans="1:6" x14ac:dyDescent="0.35">
      <c r="A572" s="14">
        <f t="shared" si="9"/>
        <v>42940</v>
      </c>
      <c r="B572" s="2">
        <f>Table1[[#This Row],[date]]-day_zero</f>
        <v>570</v>
      </c>
      <c r="C572" s="16">
        <f>WEEKDAY(Table1[[#This Row],[date]],2 )</f>
        <v>1</v>
      </c>
      <c r="D572" s="1">
        <v>15</v>
      </c>
      <c r="E572" s="1">
        <v>7.5</v>
      </c>
      <c r="F572" s="16">
        <f>IF(Table1[[#This Row],[weekday]]&lt;6,2,0)</f>
        <v>2</v>
      </c>
    </row>
    <row r="573" spans="1:6" x14ac:dyDescent="0.35">
      <c r="A573" s="14">
        <f t="shared" si="9"/>
        <v>42941</v>
      </c>
      <c r="B573" s="2">
        <f>Table1[[#This Row],[date]]-day_zero</f>
        <v>571</v>
      </c>
      <c r="C573" s="16">
        <f>WEEKDAY(Table1[[#This Row],[date]],2 )</f>
        <v>2</v>
      </c>
      <c r="D573" s="1">
        <v>15</v>
      </c>
      <c r="E573" s="1">
        <v>7.5</v>
      </c>
      <c r="F573" s="16">
        <f>IF(Table1[[#This Row],[weekday]]&lt;6,2,0)</f>
        <v>2</v>
      </c>
    </row>
    <row r="574" spans="1:6" x14ac:dyDescent="0.35">
      <c r="A574" s="14">
        <f t="shared" si="9"/>
        <v>42942</v>
      </c>
      <c r="B574" s="2">
        <f>Table1[[#This Row],[date]]-day_zero</f>
        <v>572</v>
      </c>
      <c r="C574" s="16">
        <f>WEEKDAY(Table1[[#This Row],[date]],2 )</f>
        <v>3</v>
      </c>
      <c r="D574" s="1">
        <v>15</v>
      </c>
      <c r="E574" s="1">
        <v>7.5</v>
      </c>
      <c r="F574" s="16">
        <f>IF(Table1[[#This Row],[weekday]]&lt;6,2,0)</f>
        <v>2</v>
      </c>
    </row>
    <row r="575" spans="1:6" x14ac:dyDescent="0.35">
      <c r="A575" s="14">
        <f t="shared" si="9"/>
        <v>42943</v>
      </c>
      <c r="B575" s="2">
        <f>Table1[[#This Row],[date]]-day_zero</f>
        <v>573</v>
      </c>
      <c r="C575" s="16">
        <f>WEEKDAY(Table1[[#This Row],[date]],2 )</f>
        <v>4</v>
      </c>
      <c r="D575" s="1">
        <v>15</v>
      </c>
      <c r="E575" s="1">
        <v>7.5</v>
      </c>
      <c r="F575" s="16">
        <f>IF(Table1[[#This Row],[weekday]]&lt;6,2,0)</f>
        <v>2</v>
      </c>
    </row>
    <row r="576" spans="1:6" x14ac:dyDescent="0.35">
      <c r="A576" s="14">
        <f t="shared" si="9"/>
        <v>42944</v>
      </c>
      <c r="B576" s="2">
        <f>Table1[[#This Row],[date]]-day_zero</f>
        <v>574</v>
      </c>
      <c r="C576" s="16">
        <f>WEEKDAY(Table1[[#This Row],[date]],2 )</f>
        <v>5</v>
      </c>
      <c r="D576" s="1">
        <v>15</v>
      </c>
      <c r="E576" s="1">
        <v>7.5</v>
      </c>
      <c r="F576" s="16">
        <f>IF(Table1[[#This Row],[weekday]]&lt;6,2,0)</f>
        <v>2</v>
      </c>
    </row>
    <row r="577" spans="1:6" x14ac:dyDescent="0.35">
      <c r="A577" s="14">
        <f t="shared" si="9"/>
        <v>42945</v>
      </c>
      <c r="B577" s="2">
        <f>Table1[[#This Row],[date]]-day_zero</f>
        <v>575</v>
      </c>
      <c r="C577" s="16">
        <f>WEEKDAY(Table1[[#This Row],[date]],2 )</f>
        <v>6</v>
      </c>
      <c r="D577" s="1">
        <v>15</v>
      </c>
      <c r="E577" s="1">
        <v>7.5</v>
      </c>
      <c r="F577" s="16">
        <f>IF(Table1[[#This Row],[weekday]]&lt;6,2,0)</f>
        <v>0</v>
      </c>
    </row>
    <row r="578" spans="1:6" x14ac:dyDescent="0.35">
      <c r="A578" s="14">
        <f t="shared" si="9"/>
        <v>42946</v>
      </c>
      <c r="B578" s="2">
        <f>Table1[[#This Row],[date]]-day_zero</f>
        <v>576</v>
      </c>
      <c r="C578" s="16">
        <f>WEEKDAY(Table1[[#This Row],[date]],2 )</f>
        <v>7</v>
      </c>
      <c r="D578" s="1">
        <v>15</v>
      </c>
      <c r="E578" s="1">
        <v>7.5</v>
      </c>
      <c r="F578" s="16">
        <f>IF(Table1[[#This Row],[weekday]]&lt;6,2,0)</f>
        <v>0</v>
      </c>
    </row>
    <row r="579" spans="1:6" x14ac:dyDescent="0.35">
      <c r="A579" s="14">
        <f t="shared" si="9"/>
        <v>42947</v>
      </c>
      <c r="B579" s="2">
        <f>Table1[[#This Row],[date]]-day_zero</f>
        <v>577</v>
      </c>
      <c r="C579" s="16">
        <f>WEEKDAY(Table1[[#This Row],[date]],2 )</f>
        <v>1</v>
      </c>
      <c r="D579" s="1">
        <v>15</v>
      </c>
      <c r="E579" s="1">
        <v>7.5</v>
      </c>
      <c r="F579" s="16">
        <f>IF(Table1[[#This Row],[weekday]]&lt;6,2,0)</f>
        <v>2</v>
      </c>
    </row>
    <row r="580" spans="1:6" x14ac:dyDescent="0.35">
      <c r="A580" s="14">
        <f t="shared" si="9"/>
        <v>42948</v>
      </c>
      <c r="B580" s="2">
        <f>Table1[[#This Row],[date]]-day_zero</f>
        <v>578</v>
      </c>
      <c r="C580" s="16">
        <f>WEEKDAY(Table1[[#This Row],[date]],2 )</f>
        <v>2</v>
      </c>
      <c r="D580" s="1">
        <v>15</v>
      </c>
      <c r="E580" s="1">
        <v>7.5</v>
      </c>
      <c r="F580" s="16">
        <f>IF(Table1[[#This Row],[weekday]]&lt;6,2,0)</f>
        <v>2</v>
      </c>
    </row>
    <row r="581" spans="1:6" x14ac:dyDescent="0.35">
      <c r="A581" s="14">
        <f t="shared" si="9"/>
        <v>42949</v>
      </c>
      <c r="B581" s="2">
        <f>Table1[[#This Row],[date]]-day_zero</f>
        <v>579</v>
      </c>
      <c r="C581" s="16">
        <f>WEEKDAY(Table1[[#This Row],[date]],2 )</f>
        <v>3</v>
      </c>
      <c r="D581" s="1">
        <v>15</v>
      </c>
      <c r="E581" s="1">
        <v>7.5</v>
      </c>
      <c r="F581" s="16">
        <f>IF(Table1[[#This Row],[weekday]]&lt;6,2,0)</f>
        <v>2</v>
      </c>
    </row>
    <row r="582" spans="1:6" x14ac:dyDescent="0.35">
      <c r="A582" s="14">
        <f t="shared" si="9"/>
        <v>42950</v>
      </c>
      <c r="B582" s="2">
        <f>Table1[[#This Row],[date]]-day_zero</f>
        <v>580</v>
      </c>
      <c r="C582" s="16">
        <f>WEEKDAY(Table1[[#This Row],[date]],2 )</f>
        <v>4</v>
      </c>
      <c r="D582" s="1">
        <v>15</v>
      </c>
      <c r="E582" s="1">
        <v>7.5</v>
      </c>
      <c r="F582" s="16">
        <f>IF(Table1[[#This Row],[weekday]]&lt;6,2,0)</f>
        <v>2</v>
      </c>
    </row>
    <row r="583" spans="1:6" x14ac:dyDescent="0.35">
      <c r="A583" s="14">
        <f t="shared" si="9"/>
        <v>42951</v>
      </c>
      <c r="B583" s="2">
        <f>Table1[[#This Row],[date]]-day_zero</f>
        <v>581</v>
      </c>
      <c r="C583" s="16">
        <f>WEEKDAY(Table1[[#This Row],[date]],2 )</f>
        <v>5</v>
      </c>
      <c r="D583" s="1">
        <v>15</v>
      </c>
      <c r="E583" s="1">
        <v>7.5</v>
      </c>
      <c r="F583" s="16">
        <f>IF(Table1[[#This Row],[weekday]]&lt;6,2,0)</f>
        <v>2</v>
      </c>
    </row>
    <row r="584" spans="1:6" x14ac:dyDescent="0.35">
      <c r="A584" s="14">
        <f t="shared" si="9"/>
        <v>42952</v>
      </c>
      <c r="B584" s="2">
        <f>Table1[[#This Row],[date]]-day_zero</f>
        <v>582</v>
      </c>
      <c r="C584" s="16">
        <f>WEEKDAY(Table1[[#This Row],[date]],2 )</f>
        <v>6</v>
      </c>
      <c r="D584" s="1">
        <v>15</v>
      </c>
      <c r="E584" s="1">
        <v>7.5</v>
      </c>
      <c r="F584" s="16">
        <f>IF(Table1[[#This Row],[weekday]]&lt;6,2,0)</f>
        <v>0</v>
      </c>
    </row>
    <row r="585" spans="1:6" x14ac:dyDescent="0.35">
      <c r="A585" s="14">
        <f t="shared" si="9"/>
        <v>42953</v>
      </c>
      <c r="B585" s="2">
        <f>Table1[[#This Row],[date]]-day_zero</f>
        <v>583</v>
      </c>
      <c r="C585" s="16">
        <f>WEEKDAY(Table1[[#This Row],[date]],2 )</f>
        <v>7</v>
      </c>
      <c r="D585" s="1">
        <v>15</v>
      </c>
      <c r="E585" s="1">
        <v>7.5</v>
      </c>
      <c r="F585" s="16">
        <f>IF(Table1[[#This Row],[weekday]]&lt;6,2,0)</f>
        <v>0</v>
      </c>
    </row>
    <row r="586" spans="1:6" x14ac:dyDescent="0.35">
      <c r="A586" s="14">
        <f t="shared" si="9"/>
        <v>42954</v>
      </c>
      <c r="B586" s="2">
        <f>Table1[[#This Row],[date]]-day_zero</f>
        <v>584</v>
      </c>
      <c r="C586" s="16">
        <f>WEEKDAY(Table1[[#This Row],[date]],2 )</f>
        <v>1</v>
      </c>
      <c r="D586" s="1">
        <v>15</v>
      </c>
      <c r="E586" s="1">
        <v>7.5</v>
      </c>
      <c r="F586" s="16">
        <f>IF(Table1[[#This Row],[weekday]]&lt;6,2,0)</f>
        <v>2</v>
      </c>
    </row>
    <row r="587" spans="1:6" x14ac:dyDescent="0.35">
      <c r="A587" s="14">
        <f t="shared" si="9"/>
        <v>42955</v>
      </c>
      <c r="B587" s="2">
        <f>Table1[[#This Row],[date]]-day_zero</f>
        <v>585</v>
      </c>
      <c r="C587" s="16">
        <f>WEEKDAY(Table1[[#This Row],[date]],2 )</f>
        <v>2</v>
      </c>
      <c r="D587" s="1">
        <v>15</v>
      </c>
      <c r="E587" s="1">
        <v>7.5</v>
      </c>
      <c r="F587" s="16">
        <f>IF(Table1[[#This Row],[weekday]]&lt;6,2,0)</f>
        <v>2</v>
      </c>
    </row>
    <row r="588" spans="1:6" x14ac:dyDescent="0.35">
      <c r="A588" s="14">
        <f t="shared" ref="A588:A651" si="10">A587+1</f>
        <v>42956</v>
      </c>
      <c r="B588" s="2">
        <f>Table1[[#This Row],[date]]-day_zero</f>
        <v>586</v>
      </c>
      <c r="C588" s="16">
        <f>WEEKDAY(Table1[[#This Row],[date]],2 )</f>
        <v>3</v>
      </c>
      <c r="D588" s="1">
        <v>15</v>
      </c>
      <c r="E588" s="1">
        <v>7.5</v>
      </c>
      <c r="F588" s="16">
        <f>IF(Table1[[#This Row],[weekday]]&lt;6,2,0)</f>
        <v>2</v>
      </c>
    </row>
    <row r="589" spans="1:6" x14ac:dyDescent="0.35">
      <c r="A589" s="14">
        <f t="shared" si="10"/>
        <v>42957</v>
      </c>
      <c r="B589" s="2">
        <f>Table1[[#This Row],[date]]-day_zero</f>
        <v>587</v>
      </c>
      <c r="C589" s="16">
        <f>WEEKDAY(Table1[[#This Row],[date]],2 )</f>
        <v>4</v>
      </c>
      <c r="D589" s="1">
        <v>15</v>
      </c>
      <c r="E589" s="1">
        <v>7.5</v>
      </c>
      <c r="F589" s="16">
        <f>IF(Table1[[#This Row],[weekday]]&lt;6,2,0)</f>
        <v>2</v>
      </c>
    </row>
    <row r="590" spans="1:6" x14ac:dyDescent="0.35">
      <c r="A590" s="14">
        <f t="shared" si="10"/>
        <v>42958</v>
      </c>
      <c r="B590" s="2">
        <f>Table1[[#This Row],[date]]-day_zero</f>
        <v>588</v>
      </c>
      <c r="C590" s="16">
        <f>WEEKDAY(Table1[[#This Row],[date]],2 )</f>
        <v>5</v>
      </c>
      <c r="D590" s="1">
        <v>15</v>
      </c>
      <c r="E590" s="1">
        <v>7.5</v>
      </c>
      <c r="F590" s="16">
        <f>IF(Table1[[#This Row],[weekday]]&lt;6,2,0)</f>
        <v>2</v>
      </c>
    </row>
    <row r="591" spans="1:6" x14ac:dyDescent="0.35">
      <c r="A591" s="14">
        <f t="shared" si="10"/>
        <v>42959</v>
      </c>
      <c r="B591" s="2">
        <f>Table1[[#This Row],[date]]-day_zero</f>
        <v>589</v>
      </c>
      <c r="C591" s="16">
        <f>WEEKDAY(Table1[[#This Row],[date]],2 )</f>
        <v>6</v>
      </c>
      <c r="D591" s="1">
        <v>15</v>
      </c>
      <c r="E591" s="1">
        <v>7.5</v>
      </c>
      <c r="F591" s="16">
        <f>IF(Table1[[#This Row],[weekday]]&lt;6,2,0)</f>
        <v>0</v>
      </c>
    </row>
    <row r="592" spans="1:6" x14ac:dyDescent="0.35">
      <c r="A592" s="14">
        <f t="shared" si="10"/>
        <v>42960</v>
      </c>
      <c r="B592" s="2">
        <f>Table1[[#This Row],[date]]-day_zero</f>
        <v>590</v>
      </c>
      <c r="C592" s="16">
        <f>WEEKDAY(Table1[[#This Row],[date]],2 )</f>
        <v>7</v>
      </c>
      <c r="D592" s="1">
        <v>15</v>
      </c>
      <c r="E592" s="1">
        <v>7.5</v>
      </c>
      <c r="F592" s="16">
        <f>IF(Table1[[#This Row],[weekday]]&lt;6,2,0)</f>
        <v>0</v>
      </c>
    </row>
    <row r="593" spans="1:6" x14ac:dyDescent="0.35">
      <c r="A593" s="14">
        <f t="shared" si="10"/>
        <v>42961</v>
      </c>
      <c r="B593" s="2">
        <f>Table1[[#This Row],[date]]-day_zero</f>
        <v>591</v>
      </c>
      <c r="C593" s="16">
        <f>WEEKDAY(Table1[[#This Row],[date]],2 )</f>
        <v>1</v>
      </c>
      <c r="D593" s="1">
        <v>15</v>
      </c>
      <c r="E593" s="1">
        <v>7.5</v>
      </c>
      <c r="F593" s="16">
        <f>IF(Table1[[#This Row],[weekday]]&lt;6,2,0)</f>
        <v>2</v>
      </c>
    </row>
    <row r="594" spans="1:6" x14ac:dyDescent="0.35">
      <c r="A594" s="14">
        <f t="shared" si="10"/>
        <v>42962</v>
      </c>
      <c r="B594" s="2">
        <f>Table1[[#This Row],[date]]-day_zero</f>
        <v>592</v>
      </c>
      <c r="C594" s="16">
        <f>WEEKDAY(Table1[[#This Row],[date]],2 )</f>
        <v>2</v>
      </c>
      <c r="D594" s="1">
        <v>15</v>
      </c>
      <c r="E594" s="1">
        <v>7.5</v>
      </c>
      <c r="F594" s="16">
        <f>IF(Table1[[#This Row],[weekday]]&lt;6,2,0)</f>
        <v>2</v>
      </c>
    </row>
    <row r="595" spans="1:6" x14ac:dyDescent="0.35">
      <c r="A595" s="14">
        <f t="shared" si="10"/>
        <v>42963</v>
      </c>
      <c r="B595" s="2">
        <f>Table1[[#This Row],[date]]-day_zero</f>
        <v>593</v>
      </c>
      <c r="C595" s="16">
        <f>WEEKDAY(Table1[[#This Row],[date]],2 )</f>
        <v>3</v>
      </c>
      <c r="D595" s="1">
        <v>15</v>
      </c>
      <c r="E595" s="1">
        <v>7.5</v>
      </c>
      <c r="F595" s="16">
        <f>IF(Table1[[#This Row],[weekday]]&lt;6,2,0)</f>
        <v>2</v>
      </c>
    </row>
    <row r="596" spans="1:6" x14ac:dyDescent="0.35">
      <c r="A596" s="14">
        <f t="shared" si="10"/>
        <v>42964</v>
      </c>
      <c r="B596" s="2">
        <f>Table1[[#This Row],[date]]-day_zero</f>
        <v>594</v>
      </c>
      <c r="C596" s="16">
        <f>WEEKDAY(Table1[[#This Row],[date]],2 )</f>
        <v>4</v>
      </c>
      <c r="D596" s="1">
        <v>15</v>
      </c>
      <c r="E596" s="1">
        <v>7.5</v>
      </c>
      <c r="F596" s="16">
        <f>IF(Table1[[#This Row],[weekday]]&lt;6,2,0)</f>
        <v>2</v>
      </c>
    </row>
    <row r="597" spans="1:6" x14ac:dyDescent="0.35">
      <c r="A597" s="14">
        <f t="shared" si="10"/>
        <v>42965</v>
      </c>
      <c r="B597" s="2">
        <f>Table1[[#This Row],[date]]-day_zero</f>
        <v>595</v>
      </c>
      <c r="C597" s="16">
        <f>WEEKDAY(Table1[[#This Row],[date]],2 )</f>
        <v>5</v>
      </c>
      <c r="D597" s="1">
        <v>15</v>
      </c>
      <c r="E597" s="1">
        <v>7.5</v>
      </c>
      <c r="F597" s="16">
        <f>IF(Table1[[#This Row],[weekday]]&lt;6,2,0)</f>
        <v>2</v>
      </c>
    </row>
    <row r="598" spans="1:6" x14ac:dyDescent="0.35">
      <c r="A598" s="14">
        <f t="shared" si="10"/>
        <v>42966</v>
      </c>
      <c r="B598" s="2">
        <f>Table1[[#This Row],[date]]-day_zero</f>
        <v>596</v>
      </c>
      <c r="C598" s="16">
        <f>WEEKDAY(Table1[[#This Row],[date]],2 )</f>
        <v>6</v>
      </c>
      <c r="D598" s="1">
        <v>15</v>
      </c>
      <c r="E598" s="1">
        <v>7.5</v>
      </c>
      <c r="F598" s="16">
        <f>IF(Table1[[#This Row],[weekday]]&lt;6,2,0)</f>
        <v>0</v>
      </c>
    </row>
    <row r="599" spans="1:6" x14ac:dyDescent="0.35">
      <c r="A599" s="14">
        <f t="shared" si="10"/>
        <v>42967</v>
      </c>
      <c r="B599" s="2">
        <f>Table1[[#This Row],[date]]-day_zero</f>
        <v>597</v>
      </c>
      <c r="C599" s="16">
        <f>WEEKDAY(Table1[[#This Row],[date]],2 )</f>
        <v>7</v>
      </c>
      <c r="D599" s="1">
        <v>15</v>
      </c>
      <c r="E599" s="1">
        <v>7.5</v>
      </c>
      <c r="F599" s="16">
        <f>IF(Table1[[#This Row],[weekday]]&lt;6,2,0)</f>
        <v>0</v>
      </c>
    </row>
    <row r="600" spans="1:6" x14ac:dyDescent="0.35">
      <c r="A600" s="14">
        <f t="shared" si="10"/>
        <v>42968</v>
      </c>
      <c r="B600" s="2">
        <f>Table1[[#This Row],[date]]-day_zero</f>
        <v>598</v>
      </c>
      <c r="C600" s="16">
        <f>WEEKDAY(Table1[[#This Row],[date]],2 )</f>
        <v>1</v>
      </c>
      <c r="D600" s="1">
        <v>15</v>
      </c>
      <c r="E600" s="1">
        <v>7.5</v>
      </c>
      <c r="F600" s="16">
        <f>IF(Table1[[#This Row],[weekday]]&lt;6,2,0)</f>
        <v>2</v>
      </c>
    </row>
    <row r="601" spans="1:6" x14ac:dyDescent="0.35">
      <c r="A601" s="14">
        <f t="shared" si="10"/>
        <v>42969</v>
      </c>
      <c r="B601" s="2">
        <f>Table1[[#This Row],[date]]-day_zero</f>
        <v>599</v>
      </c>
      <c r="C601" s="16">
        <f>WEEKDAY(Table1[[#This Row],[date]],2 )</f>
        <v>2</v>
      </c>
      <c r="D601" s="1">
        <v>15</v>
      </c>
      <c r="E601" s="1">
        <v>7.5</v>
      </c>
      <c r="F601" s="16">
        <f>IF(Table1[[#This Row],[weekday]]&lt;6,2,0)</f>
        <v>2</v>
      </c>
    </row>
    <row r="602" spans="1:6" x14ac:dyDescent="0.35">
      <c r="A602" s="14">
        <f t="shared" si="10"/>
        <v>42970</v>
      </c>
      <c r="B602" s="2">
        <f>Table1[[#This Row],[date]]-day_zero</f>
        <v>600</v>
      </c>
      <c r="C602" s="16">
        <f>WEEKDAY(Table1[[#This Row],[date]],2 )</f>
        <v>3</v>
      </c>
      <c r="D602" s="1">
        <v>15</v>
      </c>
      <c r="E602" s="1">
        <v>7.5</v>
      </c>
      <c r="F602" s="16">
        <f>IF(Table1[[#This Row],[weekday]]&lt;6,2,0)</f>
        <v>2</v>
      </c>
    </row>
    <row r="603" spans="1:6" x14ac:dyDescent="0.35">
      <c r="A603" s="14">
        <f t="shared" si="10"/>
        <v>42971</v>
      </c>
      <c r="B603" s="2">
        <f>Table1[[#This Row],[date]]-day_zero</f>
        <v>601</v>
      </c>
      <c r="C603" s="16">
        <f>WEEKDAY(Table1[[#This Row],[date]],2 )</f>
        <v>4</v>
      </c>
      <c r="D603" s="1">
        <v>15</v>
      </c>
      <c r="E603" s="1">
        <v>7.5</v>
      </c>
      <c r="F603" s="16">
        <f>IF(Table1[[#This Row],[weekday]]&lt;6,2,0)</f>
        <v>2</v>
      </c>
    </row>
    <row r="604" spans="1:6" x14ac:dyDescent="0.35">
      <c r="A604" s="14">
        <f t="shared" si="10"/>
        <v>42972</v>
      </c>
      <c r="B604" s="2">
        <f>Table1[[#This Row],[date]]-day_zero</f>
        <v>602</v>
      </c>
      <c r="C604" s="16">
        <f>WEEKDAY(Table1[[#This Row],[date]],2 )</f>
        <v>5</v>
      </c>
      <c r="D604" s="1">
        <v>15</v>
      </c>
      <c r="E604" s="1">
        <v>7.5</v>
      </c>
      <c r="F604" s="16">
        <f>IF(Table1[[#This Row],[weekday]]&lt;6,2,0)</f>
        <v>2</v>
      </c>
    </row>
    <row r="605" spans="1:6" x14ac:dyDescent="0.35">
      <c r="A605" s="14">
        <f t="shared" si="10"/>
        <v>42973</v>
      </c>
      <c r="B605" s="2">
        <f>Table1[[#This Row],[date]]-day_zero</f>
        <v>603</v>
      </c>
      <c r="C605" s="16">
        <f>WEEKDAY(Table1[[#This Row],[date]],2 )</f>
        <v>6</v>
      </c>
      <c r="D605" s="1">
        <v>15</v>
      </c>
      <c r="E605" s="1">
        <v>7.5</v>
      </c>
      <c r="F605" s="16">
        <f>IF(Table1[[#This Row],[weekday]]&lt;6,2,0)</f>
        <v>0</v>
      </c>
    </row>
    <row r="606" spans="1:6" x14ac:dyDescent="0.35">
      <c r="A606" s="14">
        <f t="shared" si="10"/>
        <v>42974</v>
      </c>
      <c r="B606" s="2">
        <f>Table1[[#This Row],[date]]-day_zero</f>
        <v>604</v>
      </c>
      <c r="C606" s="16">
        <f>WEEKDAY(Table1[[#This Row],[date]],2 )</f>
        <v>7</v>
      </c>
      <c r="D606" s="1">
        <v>15</v>
      </c>
      <c r="E606" s="1">
        <v>7.5</v>
      </c>
      <c r="F606" s="16">
        <f>IF(Table1[[#This Row],[weekday]]&lt;6,2,0)</f>
        <v>0</v>
      </c>
    </row>
    <row r="607" spans="1:6" x14ac:dyDescent="0.35">
      <c r="A607" s="14">
        <f t="shared" si="10"/>
        <v>42975</v>
      </c>
      <c r="B607" s="2">
        <f>Table1[[#This Row],[date]]-day_zero</f>
        <v>605</v>
      </c>
      <c r="C607" s="16">
        <f>WEEKDAY(Table1[[#This Row],[date]],2 )</f>
        <v>1</v>
      </c>
      <c r="D607" s="1">
        <v>15</v>
      </c>
      <c r="E607" s="1">
        <v>7.5</v>
      </c>
      <c r="F607" s="16">
        <f>IF(Table1[[#This Row],[weekday]]&lt;6,2,0)</f>
        <v>2</v>
      </c>
    </row>
    <row r="608" spans="1:6" x14ac:dyDescent="0.35">
      <c r="A608" s="14">
        <f t="shared" si="10"/>
        <v>42976</v>
      </c>
      <c r="B608" s="2">
        <f>Table1[[#This Row],[date]]-day_zero</f>
        <v>606</v>
      </c>
      <c r="C608" s="16">
        <f>WEEKDAY(Table1[[#This Row],[date]],2 )</f>
        <v>2</v>
      </c>
      <c r="D608" s="1">
        <v>15</v>
      </c>
      <c r="E608" s="1">
        <v>7.5</v>
      </c>
      <c r="F608" s="16">
        <f>IF(Table1[[#This Row],[weekday]]&lt;6,2,0)</f>
        <v>2</v>
      </c>
    </row>
    <row r="609" spans="1:6" x14ac:dyDescent="0.35">
      <c r="A609" s="14">
        <f t="shared" si="10"/>
        <v>42977</v>
      </c>
      <c r="B609" s="2">
        <f>Table1[[#This Row],[date]]-day_zero</f>
        <v>607</v>
      </c>
      <c r="C609" s="16">
        <f>WEEKDAY(Table1[[#This Row],[date]],2 )</f>
        <v>3</v>
      </c>
      <c r="D609" s="1">
        <v>15</v>
      </c>
      <c r="E609" s="1">
        <v>7.5</v>
      </c>
      <c r="F609" s="16">
        <f>IF(Table1[[#This Row],[weekday]]&lt;6,2,0)</f>
        <v>2</v>
      </c>
    </row>
    <row r="610" spans="1:6" x14ac:dyDescent="0.35">
      <c r="A610" s="14">
        <f t="shared" si="10"/>
        <v>42978</v>
      </c>
      <c r="B610" s="2">
        <f>Table1[[#This Row],[date]]-day_zero</f>
        <v>608</v>
      </c>
      <c r="C610" s="16">
        <f>WEEKDAY(Table1[[#This Row],[date]],2 )</f>
        <v>4</v>
      </c>
      <c r="D610" s="1">
        <v>15</v>
      </c>
      <c r="E610" s="1">
        <v>7.5</v>
      </c>
      <c r="F610" s="16">
        <f>IF(Table1[[#This Row],[weekday]]&lt;6,2,0)</f>
        <v>2</v>
      </c>
    </row>
    <row r="611" spans="1:6" x14ac:dyDescent="0.35">
      <c r="A611" s="14">
        <f t="shared" si="10"/>
        <v>42979</v>
      </c>
      <c r="B611" s="2">
        <f>Table1[[#This Row],[date]]-day_zero</f>
        <v>609</v>
      </c>
      <c r="C611" s="16">
        <f>WEEKDAY(Table1[[#This Row],[date]],2 )</f>
        <v>5</v>
      </c>
      <c r="D611" s="1">
        <v>15</v>
      </c>
      <c r="E611" s="1">
        <v>7.5</v>
      </c>
      <c r="F611" s="16">
        <f>IF(Table1[[#This Row],[weekday]]&lt;6,2,0)</f>
        <v>2</v>
      </c>
    </row>
    <row r="612" spans="1:6" x14ac:dyDescent="0.35">
      <c r="A612" s="14">
        <f t="shared" si="10"/>
        <v>42980</v>
      </c>
      <c r="B612" s="2">
        <f>Table1[[#This Row],[date]]-day_zero</f>
        <v>610</v>
      </c>
      <c r="C612" s="16">
        <f>WEEKDAY(Table1[[#This Row],[date]],2 )</f>
        <v>6</v>
      </c>
      <c r="D612" s="1">
        <v>15</v>
      </c>
      <c r="E612" s="1">
        <v>7.5</v>
      </c>
      <c r="F612" s="16">
        <f>IF(Table1[[#This Row],[weekday]]&lt;6,2,0)</f>
        <v>0</v>
      </c>
    </row>
    <row r="613" spans="1:6" x14ac:dyDescent="0.35">
      <c r="A613" s="14">
        <f t="shared" si="10"/>
        <v>42981</v>
      </c>
      <c r="B613" s="2">
        <f>Table1[[#This Row],[date]]-day_zero</f>
        <v>611</v>
      </c>
      <c r="C613" s="16">
        <f>WEEKDAY(Table1[[#This Row],[date]],2 )</f>
        <v>7</v>
      </c>
      <c r="D613" s="1">
        <v>15</v>
      </c>
      <c r="E613" s="1">
        <v>7.5</v>
      </c>
      <c r="F613" s="16">
        <f>IF(Table1[[#This Row],[weekday]]&lt;6,2,0)</f>
        <v>0</v>
      </c>
    </row>
    <row r="614" spans="1:6" x14ac:dyDescent="0.35">
      <c r="A614" s="14">
        <f t="shared" si="10"/>
        <v>42982</v>
      </c>
      <c r="B614" s="2">
        <f>Table1[[#This Row],[date]]-day_zero</f>
        <v>612</v>
      </c>
      <c r="C614" s="16">
        <f>WEEKDAY(Table1[[#This Row],[date]],2 )</f>
        <v>1</v>
      </c>
      <c r="D614" s="1">
        <v>15</v>
      </c>
      <c r="E614" s="1">
        <v>7.5</v>
      </c>
      <c r="F614" s="16">
        <f>IF(Table1[[#This Row],[weekday]]&lt;6,2,0)</f>
        <v>2</v>
      </c>
    </row>
    <row r="615" spans="1:6" x14ac:dyDescent="0.35">
      <c r="A615" s="14">
        <f t="shared" si="10"/>
        <v>42983</v>
      </c>
      <c r="B615" s="2">
        <f>Table1[[#This Row],[date]]-day_zero</f>
        <v>613</v>
      </c>
      <c r="C615" s="16">
        <f>WEEKDAY(Table1[[#This Row],[date]],2 )</f>
        <v>2</v>
      </c>
      <c r="D615" s="1">
        <v>15</v>
      </c>
      <c r="E615" s="1">
        <v>7.5</v>
      </c>
      <c r="F615" s="16">
        <f>IF(Table1[[#This Row],[weekday]]&lt;6,2,0)</f>
        <v>2</v>
      </c>
    </row>
    <row r="616" spans="1:6" x14ac:dyDescent="0.35">
      <c r="A616" s="14">
        <f t="shared" si="10"/>
        <v>42984</v>
      </c>
      <c r="B616" s="2">
        <f>Table1[[#This Row],[date]]-day_zero</f>
        <v>614</v>
      </c>
      <c r="C616" s="16">
        <f>WEEKDAY(Table1[[#This Row],[date]],2 )</f>
        <v>3</v>
      </c>
      <c r="D616" s="1">
        <v>15</v>
      </c>
      <c r="E616" s="1">
        <v>7.5</v>
      </c>
      <c r="F616" s="16">
        <f>IF(Table1[[#This Row],[weekday]]&lt;6,2,0)</f>
        <v>2</v>
      </c>
    </row>
    <row r="617" spans="1:6" x14ac:dyDescent="0.35">
      <c r="A617" s="14">
        <f t="shared" si="10"/>
        <v>42985</v>
      </c>
      <c r="B617" s="2">
        <f>Table1[[#This Row],[date]]-day_zero</f>
        <v>615</v>
      </c>
      <c r="C617" s="16">
        <f>WEEKDAY(Table1[[#This Row],[date]],2 )</f>
        <v>4</v>
      </c>
      <c r="D617" s="1">
        <v>15</v>
      </c>
      <c r="E617" s="1">
        <v>7.5</v>
      </c>
      <c r="F617" s="16">
        <f>IF(Table1[[#This Row],[weekday]]&lt;6,2,0)</f>
        <v>2</v>
      </c>
    </row>
    <row r="618" spans="1:6" x14ac:dyDescent="0.35">
      <c r="A618" s="14">
        <f t="shared" si="10"/>
        <v>42986</v>
      </c>
      <c r="B618" s="2">
        <f>Table1[[#This Row],[date]]-day_zero</f>
        <v>616</v>
      </c>
      <c r="C618" s="16">
        <f>WEEKDAY(Table1[[#This Row],[date]],2 )</f>
        <v>5</v>
      </c>
      <c r="D618" s="1">
        <v>15</v>
      </c>
      <c r="E618" s="1">
        <v>7.5</v>
      </c>
      <c r="F618" s="16">
        <f>IF(Table1[[#This Row],[weekday]]&lt;6,2,0)</f>
        <v>2</v>
      </c>
    </row>
    <row r="619" spans="1:6" x14ac:dyDescent="0.35">
      <c r="A619" s="14">
        <f t="shared" si="10"/>
        <v>42987</v>
      </c>
      <c r="B619" s="2">
        <f>Table1[[#This Row],[date]]-day_zero</f>
        <v>617</v>
      </c>
      <c r="C619" s="16">
        <f>WEEKDAY(Table1[[#This Row],[date]],2 )</f>
        <v>6</v>
      </c>
      <c r="D619" s="1">
        <v>15</v>
      </c>
      <c r="E619" s="1">
        <v>7.5</v>
      </c>
      <c r="F619" s="16">
        <f>IF(Table1[[#This Row],[weekday]]&lt;6,2,0)</f>
        <v>0</v>
      </c>
    </row>
    <row r="620" spans="1:6" x14ac:dyDescent="0.35">
      <c r="A620" s="14">
        <f t="shared" si="10"/>
        <v>42988</v>
      </c>
      <c r="B620" s="2">
        <f>Table1[[#This Row],[date]]-day_zero</f>
        <v>618</v>
      </c>
      <c r="C620" s="16">
        <f>WEEKDAY(Table1[[#This Row],[date]],2 )</f>
        <v>7</v>
      </c>
      <c r="D620" s="1">
        <v>15</v>
      </c>
      <c r="E620" s="1">
        <v>7.5</v>
      </c>
      <c r="F620" s="16">
        <f>IF(Table1[[#This Row],[weekday]]&lt;6,2,0)</f>
        <v>0</v>
      </c>
    </row>
    <row r="621" spans="1:6" x14ac:dyDescent="0.35">
      <c r="A621" s="14">
        <f t="shared" si="10"/>
        <v>42989</v>
      </c>
      <c r="B621" s="2">
        <f>Table1[[#This Row],[date]]-day_zero</f>
        <v>619</v>
      </c>
      <c r="C621" s="16">
        <f>WEEKDAY(Table1[[#This Row],[date]],2 )</f>
        <v>1</v>
      </c>
      <c r="D621" s="1">
        <v>15</v>
      </c>
      <c r="E621" s="1">
        <v>7.5</v>
      </c>
      <c r="F621" s="16">
        <f>IF(Table1[[#This Row],[weekday]]&lt;6,2,0)</f>
        <v>2</v>
      </c>
    </row>
    <row r="622" spans="1:6" x14ac:dyDescent="0.35">
      <c r="A622" s="14">
        <f t="shared" si="10"/>
        <v>42990</v>
      </c>
      <c r="B622" s="2">
        <f>Table1[[#This Row],[date]]-day_zero</f>
        <v>620</v>
      </c>
      <c r="C622" s="16">
        <f>WEEKDAY(Table1[[#This Row],[date]],2 )</f>
        <v>2</v>
      </c>
      <c r="D622" s="1">
        <v>15</v>
      </c>
      <c r="E622" s="1">
        <v>7.5</v>
      </c>
      <c r="F622" s="16">
        <f>IF(Table1[[#This Row],[weekday]]&lt;6,2,0)</f>
        <v>2</v>
      </c>
    </row>
    <row r="623" spans="1:6" x14ac:dyDescent="0.35">
      <c r="A623" s="14">
        <f t="shared" si="10"/>
        <v>42991</v>
      </c>
      <c r="B623" s="2">
        <f>Table1[[#This Row],[date]]-day_zero</f>
        <v>621</v>
      </c>
      <c r="C623" s="16">
        <f>WEEKDAY(Table1[[#This Row],[date]],2 )</f>
        <v>3</v>
      </c>
      <c r="D623" s="1">
        <v>15</v>
      </c>
      <c r="E623" s="1">
        <v>7.5</v>
      </c>
      <c r="F623" s="16">
        <f>IF(Table1[[#This Row],[weekday]]&lt;6,2,0)</f>
        <v>2</v>
      </c>
    </row>
    <row r="624" spans="1:6" x14ac:dyDescent="0.35">
      <c r="A624" s="14">
        <f t="shared" si="10"/>
        <v>42992</v>
      </c>
      <c r="B624" s="2">
        <f>Table1[[#This Row],[date]]-day_zero</f>
        <v>622</v>
      </c>
      <c r="C624" s="16">
        <f>WEEKDAY(Table1[[#This Row],[date]],2 )</f>
        <v>4</v>
      </c>
      <c r="D624" s="1">
        <v>15</v>
      </c>
      <c r="E624" s="1">
        <v>7.5</v>
      </c>
      <c r="F624" s="16">
        <f>IF(Table1[[#This Row],[weekday]]&lt;6,2,0)</f>
        <v>2</v>
      </c>
    </row>
    <row r="625" spans="1:6" x14ac:dyDescent="0.35">
      <c r="A625" s="14">
        <f t="shared" si="10"/>
        <v>42993</v>
      </c>
      <c r="B625" s="2">
        <f>Table1[[#This Row],[date]]-day_zero</f>
        <v>623</v>
      </c>
      <c r="C625" s="16">
        <f>WEEKDAY(Table1[[#This Row],[date]],2 )</f>
        <v>5</v>
      </c>
      <c r="D625" s="1">
        <v>15</v>
      </c>
      <c r="E625" s="1">
        <v>7.5</v>
      </c>
      <c r="F625" s="16">
        <f>IF(Table1[[#This Row],[weekday]]&lt;6,2,0)</f>
        <v>2</v>
      </c>
    </row>
    <row r="626" spans="1:6" x14ac:dyDescent="0.35">
      <c r="A626" s="14">
        <f t="shared" si="10"/>
        <v>42994</v>
      </c>
      <c r="B626" s="2">
        <f>Table1[[#This Row],[date]]-day_zero</f>
        <v>624</v>
      </c>
      <c r="C626" s="16">
        <f>WEEKDAY(Table1[[#This Row],[date]],2 )</f>
        <v>6</v>
      </c>
      <c r="D626" s="1">
        <v>15</v>
      </c>
      <c r="E626" s="1">
        <v>7.5</v>
      </c>
      <c r="F626" s="16">
        <f>IF(Table1[[#This Row],[weekday]]&lt;6,2,0)</f>
        <v>0</v>
      </c>
    </row>
    <row r="627" spans="1:6" x14ac:dyDescent="0.35">
      <c r="A627" s="14">
        <f t="shared" si="10"/>
        <v>42995</v>
      </c>
      <c r="B627" s="2">
        <f>Table1[[#This Row],[date]]-day_zero</f>
        <v>625</v>
      </c>
      <c r="C627" s="16">
        <f>WEEKDAY(Table1[[#This Row],[date]],2 )</f>
        <v>7</v>
      </c>
      <c r="D627" s="1">
        <v>15</v>
      </c>
      <c r="E627" s="1">
        <v>7.5</v>
      </c>
      <c r="F627" s="16">
        <f>IF(Table1[[#This Row],[weekday]]&lt;6,2,0)</f>
        <v>0</v>
      </c>
    </row>
    <row r="628" spans="1:6" x14ac:dyDescent="0.35">
      <c r="A628" s="14">
        <f t="shared" si="10"/>
        <v>42996</v>
      </c>
      <c r="B628" s="2">
        <f>Table1[[#This Row],[date]]-day_zero</f>
        <v>626</v>
      </c>
      <c r="C628" s="16">
        <f>WEEKDAY(Table1[[#This Row],[date]],2 )</f>
        <v>1</v>
      </c>
      <c r="D628" s="1">
        <v>15</v>
      </c>
      <c r="E628" s="1">
        <v>7.5</v>
      </c>
      <c r="F628" s="16">
        <f>IF(Table1[[#This Row],[weekday]]&lt;6,2,0)</f>
        <v>2</v>
      </c>
    </row>
    <row r="629" spans="1:6" x14ac:dyDescent="0.35">
      <c r="A629" s="14">
        <f t="shared" si="10"/>
        <v>42997</v>
      </c>
      <c r="B629" s="2">
        <f>Table1[[#This Row],[date]]-day_zero</f>
        <v>627</v>
      </c>
      <c r="C629" s="16">
        <f>WEEKDAY(Table1[[#This Row],[date]],2 )</f>
        <v>2</v>
      </c>
      <c r="D629" s="1">
        <v>15</v>
      </c>
      <c r="E629" s="1">
        <v>7.5</v>
      </c>
      <c r="F629" s="16">
        <f>IF(Table1[[#This Row],[weekday]]&lt;6,2,0)</f>
        <v>2</v>
      </c>
    </row>
    <row r="630" spans="1:6" x14ac:dyDescent="0.35">
      <c r="A630" s="14">
        <f t="shared" si="10"/>
        <v>42998</v>
      </c>
      <c r="B630" s="2">
        <f>Table1[[#This Row],[date]]-day_zero</f>
        <v>628</v>
      </c>
      <c r="C630" s="16">
        <f>WEEKDAY(Table1[[#This Row],[date]],2 )</f>
        <v>3</v>
      </c>
      <c r="D630" s="1">
        <v>15</v>
      </c>
      <c r="E630" s="1">
        <v>7.5</v>
      </c>
      <c r="F630" s="16">
        <f>IF(Table1[[#This Row],[weekday]]&lt;6,2,0)</f>
        <v>2</v>
      </c>
    </row>
    <row r="631" spans="1:6" x14ac:dyDescent="0.35">
      <c r="A631" s="14">
        <f t="shared" si="10"/>
        <v>42999</v>
      </c>
      <c r="B631" s="2">
        <f>Table1[[#This Row],[date]]-day_zero</f>
        <v>629</v>
      </c>
      <c r="C631" s="16">
        <f>WEEKDAY(Table1[[#This Row],[date]],2 )</f>
        <v>4</v>
      </c>
      <c r="D631" s="1">
        <v>15</v>
      </c>
      <c r="E631" s="1">
        <v>7.5</v>
      </c>
      <c r="F631" s="16">
        <f>IF(Table1[[#This Row],[weekday]]&lt;6,2,0)</f>
        <v>2</v>
      </c>
    </row>
    <row r="632" spans="1:6" x14ac:dyDescent="0.35">
      <c r="A632" s="14">
        <f t="shared" si="10"/>
        <v>43000</v>
      </c>
      <c r="B632" s="2">
        <f>Table1[[#This Row],[date]]-day_zero</f>
        <v>630</v>
      </c>
      <c r="C632" s="16">
        <f>WEEKDAY(Table1[[#This Row],[date]],2 )</f>
        <v>5</v>
      </c>
      <c r="D632" s="1">
        <v>15</v>
      </c>
      <c r="E632" s="1">
        <v>7.5</v>
      </c>
      <c r="F632" s="16">
        <f>IF(Table1[[#This Row],[weekday]]&lt;6,2,0)</f>
        <v>2</v>
      </c>
    </row>
    <row r="633" spans="1:6" x14ac:dyDescent="0.35">
      <c r="A633" s="14">
        <f t="shared" si="10"/>
        <v>43001</v>
      </c>
      <c r="B633" s="2">
        <f>Table1[[#This Row],[date]]-day_zero</f>
        <v>631</v>
      </c>
      <c r="C633" s="16">
        <f>WEEKDAY(Table1[[#This Row],[date]],2 )</f>
        <v>6</v>
      </c>
      <c r="D633" s="1">
        <v>15</v>
      </c>
      <c r="E633" s="1">
        <v>7.5</v>
      </c>
      <c r="F633" s="16">
        <f>IF(Table1[[#This Row],[weekday]]&lt;6,2,0)</f>
        <v>0</v>
      </c>
    </row>
    <row r="634" spans="1:6" x14ac:dyDescent="0.35">
      <c r="A634" s="14">
        <f t="shared" si="10"/>
        <v>43002</v>
      </c>
      <c r="B634" s="2">
        <f>Table1[[#This Row],[date]]-day_zero</f>
        <v>632</v>
      </c>
      <c r="C634" s="16">
        <f>WEEKDAY(Table1[[#This Row],[date]],2 )</f>
        <v>7</v>
      </c>
      <c r="D634" s="1">
        <v>15</v>
      </c>
      <c r="E634" s="1">
        <v>7.5</v>
      </c>
      <c r="F634" s="16">
        <f>IF(Table1[[#This Row],[weekday]]&lt;6,2,0)</f>
        <v>0</v>
      </c>
    </row>
    <row r="635" spans="1:6" x14ac:dyDescent="0.35">
      <c r="A635" s="14">
        <f t="shared" si="10"/>
        <v>43003</v>
      </c>
      <c r="B635" s="2">
        <f>Table1[[#This Row],[date]]-day_zero</f>
        <v>633</v>
      </c>
      <c r="C635" s="16">
        <f>WEEKDAY(Table1[[#This Row],[date]],2 )</f>
        <v>1</v>
      </c>
      <c r="D635" s="1">
        <v>15</v>
      </c>
      <c r="E635" s="1">
        <v>7.5</v>
      </c>
      <c r="F635" s="16">
        <f>IF(Table1[[#This Row],[weekday]]&lt;6,2,0)</f>
        <v>2</v>
      </c>
    </row>
    <row r="636" spans="1:6" x14ac:dyDescent="0.35">
      <c r="A636" s="14">
        <f t="shared" si="10"/>
        <v>43004</v>
      </c>
      <c r="B636" s="2">
        <f>Table1[[#This Row],[date]]-day_zero</f>
        <v>634</v>
      </c>
      <c r="C636" s="16">
        <f>WEEKDAY(Table1[[#This Row],[date]],2 )</f>
        <v>2</v>
      </c>
      <c r="D636" s="1">
        <v>15</v>
      </c>
      <c r="E636" s="1">
        <v>7.5</v>
      </c>
      <c r="F636" s="16">
        <f>IF(Table1[[#This Row],[weekday]]&lt;6,2,0)</f>
        <v>2</v>
      </c>
    </row>
    <row r="637" spans="1:6" x14ac:dyDescent="0.35">
      <c r="A637" s="14">
        <f t="shared" si="10"/>
        <v>43005</v>
      </c>
      <c r="B637" s="2">
        <f>Table1[[#This Row],[date]]-day_zero</f>
        <v>635</v>
      </c>
      <c r="C637" s="16">
        <f>WEEKDAY(Table1[[#This Row],[date]],2 )</f>
        <v>3</v>
      </c>
      <c r="D637" s="1">
        <v>15</v>
      </c>
      <c r="E637" s="1">
        <v>7.5</v>
      </c>
      <c r="F637" s="16">
        <f>IF(Table1[[#This Row],[weekday]]&lt;6,2,0)</f>
        <v>2</v>
      </c>
    </row>
    <row r="638" spans="1:6" x14ac:dyDescent="0.35">
      <c r="A638" s="14">
        <f t="shared" si="10"/>
        <v>43006</v>
      </c>
      <c r="B638" s="2">
        <f>Table1[[#This Row],[date]]-day_zero</f>
        <v>636</v>
      </c>
      <c r="C638" s="16">
        <f>WEEKDAY(Table1[[#This Row],[date]],2 )</f>
        <v>4</v>
      </c>
      <c r="D638" s="1">
        <v>15</v>
      </c>
      <c r="E638" s="1">
        <v>7.5</v>
      </c>
      <c r="F638" s="16">
        <f>IF(Table1[[#This Row],[weekday]]&lt;6,2,0)</f>
        <v>2</v>
      </c>
    </row>
    <row r="639" spans="1:6" x14ac:dyDescent="0.35">
      <c r="A639" s="14">
        <f t="shared" si="10"/>
        <v>43007</v>
      </c>
      <c r="B639" s="2">
        <f>Table1[[#This Row],[date]]-day_zero</f>
        <v>637</v>
      </c>
      <c r="C639" s="16">
        <f>WEEKDAY(Table1[[#This Row],[date]],2 )</f>
        <v>5</v>
      </c>
      <c r="D639" s="1">
        <v>15</v>
      </c>
      <c r="E639" s="1">
        <v>7.5</v>
      </c>
      <c r="F639" s="16">
        <f>IF(Table1[[#This Row],[weekday]]&lt;6,2,0)</f>
        <v>2</v>
      </c>
    </row>
    <row r="640" spans="1:6" x14ac:dyDescent="0.35">
      <c r="A640" s="14">
        <f t="shared" si="10"/>
        <v>43008</v>
      </c>
      <c r="B640" s="2">
        <f>Table1[[#This Row],[date]]-day_zero</f>
        <v>638</v>
      </c>
      <c r="C640" s="16">
        <f>WEEKDAY(Table1[[#This Row],[date]],2 )</f>
        <v>6</v>
      </c>
      <c r="D640" s="1">
        <v>15</v>
      </c>
      <c r="E640" s="1">
        <v>7.5</v>
      </c>
      <c r="F640" s="16">
        <f>IF(Table1[[#This Row],[weekday]]&lt;6,2,0)</f>
        <v>0</v>
      </c>
    </row>
    <row r="641" spans="1:6" x14ac:dyDescent="0.35">
      <c r="A641" s="14">
        <f t="shared" si="10"/>
        <v>43009</v>
      </c>
      <c r="B641" s="2">
        <f>Table1[[#This Row],[date]]-day_zero</f>
        <v>639</v>
      </c>
      <c r="C641" s="16">
        <f>WEEKDAY(Table1[[#This Row],[date]],2 )</f>
        <v>7</v>
      </c>
      <c r="D641" s="1">
        <v>15</v>
      </c>
      <c r="E641" s="1">
        <v>7.5</v>
      </c>
      <c r="F641" s="16">
        <f>IF(Table1[[#This Row],[weekday]]&lt;6,2,0)</f>
        <v>0</v>
      </c>
    </row>
    <row r="642" spans="1:6" x14ac:dyDescent="0.35">
      <c r="A642" s="14">
        <f t="shared" si="10"/>
        <v>43010</v>
      </c>
      <c r="B642" s="2">
        <f>Table1[[#This Row],[date]]-day_zero</f>
        <v>640</v>
      </c>
      <c r="C642" s="16">
        <f>WEEKDAY(Table1[[#This Row],[date]],2 )</f>
        <v>1</v>
      </c>
      <c r="D642" s="1">
        <v>15</v>
      </c>
      <c r="E642" s="1">
        <v>7.5</v>
      </c>
      <c r="F642" s="16">
        <f>IF(Table1[[#This Row],[weekday]]&lt;6,2,0)</f>
        <v>2</v>
      </c>
    </row>
    <row r="643" spans="1:6" x14ac:dyDescent="0.35">
      <c r="A643" s="14">
        <f t="shared" si="10"/>
        <v>43011</v>
      </c>
      <c r="B643" s="2">
        <f>Table1[[#This Row],[date]]-day_zero</f>
        <v>641</v>
      </c>
      <c r="C643" s="16">
        <f>WEEKDAY(Table1[[#This Row],[date]],2 )</f>
        <v>2</v>
      </c>
      <c r="D643" s="1">
        <v>15</v>
      </c>
      <c r="E643" s="1">
        <v>7.5</v>
      </c>
      <c r="F643" s="16">
        <f>IF(Table1[[#This Row],[weekday]]&lt;6,2,0)</f>
        <v>2</v>
      </c>
    </row>
    <row r="644" spans="1:6" x14ac:dyDescent="0.35">
      <c r="A644" s="14">
        <f t="shared" si="10"/>
        <v>43012</v>
      </c>
      <c r="B644" s="2">
        <f>Table1[[#This Row],[date]]-day_zero</f>
        <v>642</v>
      </c>
      <c r="C644" s="16">
        <f>WEEKDAY(Table1[[#This Row],[date]],2 )</f>
        <v>3</v>
      </c>
      <c r="D644" s="1">
        <v>15</v>
      </c>
      <c r="E644" s="1">
        <v>7.5</v>
      </c>
      <c r="F644" s="16">
        <f>IF(Table1[[#This Row],[weekday]]&lt;6,2,0)</f>
        <v>2</v>
      </c>
    </row>
    <row r="645" spans="1:6" x14ac:dyDescent="0.35">
      <c r="A645" s="14">
        <f t="shared" si="10"/>
        <v>43013</v>
      </c>
      <c r="B645" s="2">
        <f>Table1[[#This Row],[date]]-day_zero</f>
        <v>643</v>
      </c>
      <c r="C645" s="16">
        <f>WEEKDAY(Table1[[#This Row],[date]],2 )</f>
        <v>4</v>
      </c>
      <c r="D645" s="1">
        <v>15</v>
      </c>
      <c r="E645" s="1">
        <v>7.5</v>
      </c>
      <c r="F645" s="16">
        <f>IF(Table1[[#This Row],[weekday]]&lt;6,2,0)</f>
        <v>2</v>
      </c>
    </row>
    <row r="646" spans="1:6" x14ac:dyDescent="0.35">
      <c r="A646" s="14">
        <f t="shared" si="10"/>
        <v>43014</v>
      </c>
      <c r="B646" s="2">
        <f>Table1[[#This Row],[date]]-day_zero</f>
        <v>644</v>
      </c>
      <c r="C646" s="16">
        <f>WEEKDAY(Table1[[#This Row],[date]],2 )</f>
        <v>5</v>
      </c>
      <c r="D646" s="1">
        <v>15</v>
      </c>
      <c r="E646" s="1">
        <v>7.5</v>
      </c>
      <c r="F646" s="16">
        <f>IF(Table1[[#This Row],[weekday]]&lt;6,2,0)</f>
        <v>2</v>
      </c>
    </row>
    <row r="647" spans="1:6" x14ac:dyDescent="0.35">
      <c r="A647" s="14">
        <f t="shared" si="10"/>
        <v>43015</v>
      </c>
      <c r="B647" s="2">
        <f>Table1[[#This Row],[date]]-day_zero</f>
        <v>645</v>
      </c>
      <c r="C647" s="16">
        <f>WEEKDAY(Table1[[#This Row],[date]],2 )</f>
        <v>6</v>
      </c>
      <c r="D647" s="1">
        <v>15</v>
      </c>
      <c r="E647" s="1">
        <v>7.5</v>
      </c>
      <c r="F647" s="16">
        <f>IF(Table1[[#This Row],[weekday]]&lt;6,2,0)</f>
        <v>0</v>
      </c>
    </row>
    <row r="648" spans="1:6" x14ac:dyDescent="0.35">
      <c r="A648" s="14">
        <f t="shared" si="10"/>
        <v>43016</v>
      </c>
      <c r="B648" s="2">
        <f>Table1[[#This Row],[date]]-day_zero</f>
        <v>646</v>
      </c>
      <c r="C648" s="16">
        <f>WEEKDAY(Table1[[#This Row],[date]],2 )</f>
        <v>7</v>
      </c>
      <c r="D648" s="1">
        <v>15</v>
      </c>
      <c r="E648" s="1">
        <v>7.5</v>
      </c>
      <c r="F648" s="16">
        <f>IF(Table1[[#This Row],[weekday]]&lt;6,2,0)</f>
        <v>0</v>
      </c>
    </row>
    <row r="649" spans="1:6" x14ac:dyDescent="0.35">
      <c r="A649" s="14">
        <f t="shared" si="10"/>
        <v>43017</v>
      </c>
      <c r="B649" s="2">
        <f>Table1[[#This Row],[date]]-day_zero</f>
        <v>647</v>
      </c>
      <c r="C649" s="16">
        <f>WEEKDAY(Table1[[#This Row],[date]],2 )</f>
        <v>1</v>
      </c>
      <c r="D649" s="1">
        <v>15</v>
      </c>
      <c r="E649" s="1">
        <v>7.5</v>
      </c>
      <c r="F649" s="16">
        <f>IF(Table1[[#This Row],[weekday]]&lt;6,2,0)</f>
        <v>2</v>
      </c>
    </row>
    <row r="650" spans="1:6" x14ac:dyDescent="0.35">
      <c r="A650" s="14">
        <f t="shared" si="10"/>
        <v>43018</v>
      </c>
      <c r="B650" s="2">
        <f>Table1[[#This Row],[date]]-day_zero</f>
        <v>648</v>
      </c>
      <c r="C650" s="16">
        <f>WEEKDAY(Table1[[#This Row],[date]],2 )</f>
        <v>2</v>
      </c>
      <c r="D650" s="1">
        <v>15</v>
      </c>
      <c r="E650" s="1">
        <v>7.5</v>
      </c>
      <c r="F650" s="16">
        <f>IF(Table1[[#This Row],[weekday]]&lt;6,2,0)</f>
        <v>2</v>
      </c>
    </row>
    <row r="651" spans="1:6" x14ac:dyDescent="0.35">
      <c r="A651" s="14">
        <f t="shared" si="10"/>
        <v>43019</v>
      </c>
      <c r="B651" s="2">
        <f>Table1[[#This Row],[date]]-day_zero</f>
        <v>649</v>
      </c>
      <c r="C651" s="16">
        <f>WEEKDAY(Table1[[#This Row],[date]],2 )</f>
        <v>3</v>
      </c>
      <c r="D651" s="1">
        <v>15</v>
      </c>
      <c r="E651" s="1">
        <v>7.5</v>
      </c>
      <c r="F651" s="16">
        <f>IF(Table1[[#This Row],[weekday]]&lt;6,2,0)</f>
        <v>2</v>
      </c>
    </row>
    <row r="652" spans="1:6" x14ac:dyDescent="0.35">
      <c r="A652" s="14">
        <f t="shared" ref="A652:A715" si="11">A651+1</f>
        <v>43020</v>
      </c>
      <c r="B652" s="2">
        <f>Table1[[#This Row],[date]]-day_zero</f>
        <v>650</v>
      </c>
      <c r="C652" s="16">
        <f>WEEKDAY(Table1[[#This Row],[date]],2 )</f>
        <v>4</v>
      </c>
      <c r="D652" s="1">
        <v>15</v>
      </c>
      <c r="E652" s="1">
        <v>7.5</v>
      </c>
      <c r="F652" s="16">
        <f>IF(Table1[[#This Row],[weekday]]&lt;6,2,0)</f>
        <v>2</v>
      </c>
    </row>
    <row r="653" spans="1:6" x14ac:dyDescent="0.35">
      <c r="A653" s="14">
        <f t="shared" si="11"/>
        <v>43021</v>
      </c>
      <c r="B653" s="2">
        <f>Table1[[#This Row],[date]]-day_zero</f>
        <v>651</v>
      </c>
      <c r="C653" s="16">
        <f>WEEKDAY(Table1[[#This Row],[date]],2 )</f>
        <v>5</v>
      </c>
      <c r="D653" s="1">
        <v>15</v>
      </c>
      <c r="E653" s="1">
        <v>7.5</v>
      </c>
      <c r="F653" s="16">
        <f>IF(Table1[[#This Row],[weekday]]&lt;6,2,0)</f>
        <v>2</v>
      </c>
    </row>
    <row r="654" spans="1:6" x14ac:dyDescent="0.35">
      <c r="A654" s="14">
        <f t="shared" si="11"/>
        <v>43022</v>
      </c>
      <c r="B654" s="2">
        <f>Table1[[#This Row],[date]]-day_zero</f>
        <v>652</v>
      </c>
      <c r="C654" s="16">
        <f>WEEKDAY(Table1[[#This Row],[date]],2 )</f>
        <v>6</v>
      </c>
      <c r="D654" s="1">
        <v>15</v>
      </c>
      <c r="E654" s="1">
        <v>7.5</v>
      </c>
      <c r="F654" s="16">
        <f>IF(Table1[[#This Row],[weekday]]&lt;6,2,0)</f>
        <v>0</v>
      </c>
    </row>
    <row r="655" spans="1:6" x14ac:dyDescent="0.35">
      <c r="A655" s="14">
        <f t="shared" si="11"/>
        <v>43023</v>
      </c>
      <c r="B655" s="2">
        <f>Table1[[#This Row],[date]]-day_zero</f>
        <v>653</v>
      </c>
      <c r="C655" s="16">
        <f>WEEKDAY(Table1[[#This Row],[date]],2 )</f>
        <v>7</v>
      </c>
      <c r="D655" s="1">
        <v>15</v>
      </c>
      <c r="E655" s="1">
        <v>7.5</v>
      </c>
      <c r="F655" s="16">
        <f>IF(Table1[[#This Row],[weekday]]&lt;6,2,0)</f>
        <v>0</v>
      </c>
    </row>
    <row r="656" spans="1:6" x14ac:dyDescent="0.35">
      <c r="A656" s="14">
        <f t="shared" si="11"/>
        <v>43024</v>
      </c>
      <c r="B656" s="2">
        <f>Table1[[#This Row],[date]]-day_zero</f>
        <v>654</v>
      </c>
      <c r="C656" s="16">
        <f>WEEKDAY(Table1[[#This Row],[date]],2 )</f>
        <v>1</v>
      </c>
      <c r="D656" s="1">
        <v>15</v>
      </c>
      <c r="E656" s="1">
        <v>7.5</v>
      </c>
      <c r="F656" s="16">
        <f>IF(Table1[[#This Row],[weekday]]&lt;6,2,0)</f>
        <v>2</v>
      </c>
    </row>
    <row r="657" spans="1:6" x14ac:dyDescent="0.35">
      <c r="A657" s="14">
        <f t="shared" si="11"/>
        <v>43025</v>
      </c>
      <c r="B657" s="2">
        <f>Table1[[#This Row],[date]]-day_zero</f>
        <v>655</v>
      </c>
      <c r="C657" s="16">
        <f>WEEKDAY(Table1[[#This Row],[date]],2 )</f>
        <v>2</v>
      </c>
      <c r="D657" s="1">
        <v>15</v>
      </c>
      <c r="E657" s="1">
        <v>7.5</v>
      </c>
      <c r="F657" s="16">
        <f>IF(Table1[[#This Row],[weekday]]&lt;6,2,0)</f>
        <v>2</v>
      </c>
    </row>
    <row r="658" spans="1:6" x14ac:dyDescent="0.35">
      <c r="A658" s="14">
        <f t="shared" si="11"/>
        <v>43026</v>
      </c>
      <c r="B658" s="2">
        <f>Table1[[#This Row],[date]]-day_zero</f>
        <v>656</v>
      </c>
      <c r="C658" s="16">
        <f>WEEKDAY(Table1[[#This Row],[date]],2 )</f>
        <v>3</v>
      </c>
      <c r="D658" s="1">
        <v>15</v>
      </c>
      <c r="E658" s="1">
        <v>7.5</v>
      </c>
      <c r="F658" s="16">
        <f>IF(Table1[[#This Row],[weekday]]&lt;6,2,0)</f>
        <v>2</v>
      </c>
    </row>
    <row r="659" spans="1:6" x14ac:dyDescent="0.35">
      <c r="A659" s="14">
        <f t="shared" si="11"/>
        <v>43027</v>
      </c>
      <c r="B659" s="2">
        <f>Table1[[#This Row],[date]]-day_zero</f>
        <v>657</v>
      </c>
      <c r="C659" s="16">
        <f>WEEKDAY(Table1[[#This Row],[date]],2 )</f>
        <v>4</v>
      </c>
      <c r="D659" s="1">
        <v>15</v>
      </c>
      <c r="E659" s="1">
        <v>7.5</v>
      </c>
      <c r="F659" s="16">
        <f>IF(Table1[[#This Row],[weekday]]&lt;6,2,0)</f>
        <v>2</v>
      </c>
    </row>
    <row r="660" spans="1:6" x14ac:dyDescent="0.35">
      <c r="A660" s="14">
        <f t="shared" si="11"/>
        <v>43028</v>
      </c>
      <c r="B660" s="2">
        <f>Table1[[#This Row],[date]]-day_zero</f>
        <v>658</v>
      </c>
      <c r="C660" s="16">
        <f>WEEKDAY(Table1[[#This Row],[date]],2 )</f>
        <v>5</v>
      </c>
      <c r="D660" s="1">
        <v>15</v>
      </c>
      <c r="E660" s="1">
        <v>7.5</v>
      </c>
      <c r="F660" s="16">
        <f>IF(Table1[[#This Row],[weekday]]&lt;6,2,0)</f>
        <v>2</v>
      </c>
    </row>
    <row r="661" spans="1:6" x14ac:dyDescent="0.35">
      <c r="A661" s="14">
        <f t="shared" si="11"/>
        <v>43029</v>
      </c>
      <c r="B661" s="2">
        <f>Table1[[#This Row],[date]]-day_zero</f>
        <v>659</v>
      </c>
      <c r="C661" s="16">
        <f>WEEKDAY(Table1[[#This Row],[date]],2 )</f>
        <v>6</v>
      </c>
      <c r="D661" s="1">
        <v>15</v>
      </c>
      <c r="E661" s="1">
        <v>7.5</v>
      </c>
      <c r="F661" s="16">
        <f>IF(Table1[[#This Row],[weekday]]&lt;6,2,0)</f>
        <v>0</v>
      </c>
    </row>
    <row r="662" spans="1:6" x14ac:dyDescent="0.35">
      <c r="A662" s="14">
        <f t="shared" si="11"/>
        <v>43030</v>
      </c>
      <c r="B662" s="2">
        <f>Table1[[#This Row],[date]]-day_zero</f>
        <v>660</v>
      </c>
      <c r="C662" s="16">
        <f>WEEKDAY(Table1[[#This Row],[date]],2 )</f>
        <v>7</v>
      </c>
      <c r="D662" s="1">
        <v>15</v>
      </c>
      <c r="E662" s="1">
        <v>7.5</v>
      </c>
      <c r="F662" s="16">
        <f>IF(Table1[[#This Row],[weekday]]&lt;6,2,0)</f>
        <v>0</v>
      </c>
    </row>
    <row r="663" spans="1:6" x14ac:dyDescent="0.35">
      <c r="A663" s="14">
        <f t="shared" si="11"/>
        <v>43031</v>
      </c>
      <c r="B663" s="2">
        <f>Table1[[#This Row],[date]]-day_zero</f>
        <v>661</v>
      </c>
      <c r="C663" s="16">
        <f>WEEKDAY(Table1[[#This Row],[date]],2 )</f>
        <v>1</v>
      </c>
      <c r="D663" s="1">
        <v>15</v>
      </c>
      <c r="E663" s="1">
        <v>7.5</v>
      </c>
      <c r="F663" s="16">
        <f>IF(Table1[[#This Row],[weekday]]&lt;6,2,0)</f>
        <v>2</v>
      </c>
    </row>
    <row r="664" spans="1:6" x14ac:dyDescent="0.35">
      <c r="A664" s="14">
        <f t="shared" si="11"/>
        <v>43032</v>
      </c>
      <c r="B664" s="2">
        <f>Table1[[#This Row],[date]]-day_zero</f>
        <v>662</v>
      </c>
      <c r="C664" s="16">
        <f>WEEKDAY(Table1[[#This Row],[date]],2 )</f>
        <v>2</v>
      </c>
      <c r="D664" s="1">
        <v>15</v>
      </c>
      <c r="E664" s="1">
        <v>7.5</v>
      </c>
      <c r="F664" s="16">
        <f>IF(Table1[[#This Row],[weekday]]&lt;6,2,0)</f>
        <v>2</v>
      </c>
    </row>
    <row r="665" spans="1:6" x14ac:dyDescent="0.35">
      <c r="A665" s="14">
        <f t="shared" si="11"/>
        <v>43033</v>
      </c>
      <c r="B665" s="2">
        <f>Table1[[#This Row],[date]]-day_zero</f>
        <v>663</v>
      </c>
      <c r="C665" s="16">
        <f>WEEKDAY(Table1[[#This Row],[date]],2 )</f>
        <v>3</v>
      </c>
      <c r="D665" s="1">
        <v>15</v>
      </c>
      <c r="E665" s="1">
        <v>7.5</v>
      </c>
      <c r="F665" s="16">
        <f>IF(Table1[[#This Row],[weekday]]&lt;6,2,0)</f>
        <v>2</v>
      </c>
    </row>
    <row r="666" spans="1:6" x14ac:dyDescent="0.35">
      <c r="A666" s="14">
        <f t="shared" si="11"/>
        <v>43034</v>
      </c>
      <c r="B666" s="2">
        <f>Table1[[#This Row],[date]]-day_zero</f>
        <v>664</v>
      </c>
      <c r="C666" s="16">
        <f>WEEKDAY(Table1[[#This Row],[date]],2 )</f>
        <v>4</v>
      </c>
      <c r="D666" s="1">
        <v>15</v>
      </c>
      <c r="E666" s="1">
        <v>7.5</v>
      </c>
      <c r="F666" s="16">
        <f>IF(Table1[[#This Row],[weekday]]&lt;6,2,0)</f>
        <v>2</v>
      </c>
    </row>
    <row r="667" spans="1:6" x14ac:dyDescent="0.35">
      <c r="A667" s="14">
        <f t="shared" si="11"/>
        <v>43035</v>
      </c>
      <c r="B667" s="2">
        <f>Table1[[#This Row],[date]]-day_zero</f>
        <v>665</v>
      </c>
      <c r="C667" s="16">
        <f>WEEKDAY(Table1[[#This Row],[date]],2 )</f>
        <v>5</v>
      </c>
      <c r="D667" s="1">
        <v>15</v>
      </c>
      <c r="E667" s="1">
        <v>7.5</v>
      </c>
      <c r="F667" s="16">
        <f>IF(Table1[[#This Row],[weekday]]&lt;6,2,0)</f>
        <v>2</v>
      </c>
    </row>
    <row r="668" spans="1:6" x14ac:dyDescent="0.35">
      <c r="A668" s="14">
        <f t="shared" si="11"/>
        <v>43036</v>
      </c>
      <c r="B668" s="2">
        <f>Table1[[#This Row],[date]]-day_zero</f>
        <v>666</v>
      </c>
      <c r="C668" s="16">
        <f>WEEKDAY(Table1[[#This Row],[date]],2 )</f>
        <v>6</v>
      </c>
      <c r="D668" s="1">
        <v>15</v>
      </c>
      <c r="E668" s="1">
        <v>7.5</v>
      </c>
      <c r="F668" s="16">
        <f>IF(Table1[[#This Row],[weekday]]&lt;6,2,0)</f>
        <v>0</v>
      </c>
    </row>
    <row r="669" spans="1:6" x14ac:dyDescent="0.35">
      <c r="A669" s="14">
        <f t="shared" si="11"/>
        <v>43037</v>
      </c>
      <c r="B669" s="2">
        <f>Table1[[#This Row],[date]]-day_zero</f>
        <v>667</v>
      </c>
      <c r="C669" s="16">
        <f>WEEKDAY(Table1[[#This Row],[date]],2 )</f>
        <v>7</v>
      </c>
      <c r="D669" s="1">
        <v>15</v>
      </c>
      <c r="E669" s="1">
        <v>7.5</v>
      </c>
      <c r="F669" s="16">
        <f>IF(Table1[[#This Row],[weekday]]&lt;6,2,0)</f>
        <v>0</v>
      </c>
    </row>
    <row r="670" spans="1:6" x14ac:dyDescent="0.35">
      <c r="A670" s="14">
        <f t="shared" si="11"/>
        <v>43038</v>
      </c>
      <c r="B670" s="2">
        <f>Table1[[#This Row],[date]]-day_zero</f>
        <v>668</v>
      </c>
      <c r="C670" s="16">
        <f>WEEKDAY(Table1[[#This Row],[date]],2 )</f>
        <v>1</v>
      </c>
      <c r="D670" s="1">
        <v>15</v>
      </c>
      <c r="E670" s="1">
        <v>7.5</v>
      </c>
      <c r="F670" s="16">
        <f>IF(Table1[[#This Row],[weekday]]&lt;6,2,0)</f>
        <v>2</v>
      </c>
    </row>
    <row r="671" spans="1:6" x14ac:dyDescent="0.35">
      <c r="A671" s="14">
        <f t="shared" si="11"/>
        <v>43039</v>
      </c>
      <c r="B671" s="2">
        <f>Table1[[#This Row],[date]]-day_zero</f>
        <v>669</v>
      </c>
      <c r="C671" s="16">
        <f>WEEKDAY(Table1[[#This Row],[date]],2 )</f>
        <v>2</v>
      </c>
      <c r="D671" s="1">
        <v>15</v>
      </c>
      <c r="E671" s="1">
        <v>7.5</v>
      </c>
      <c r="F671" s="16">
        <f>IF(Table1[[#This Row],[weekday]]&lt;6,2,0)</f>
        <v>2</v>
      </c>
    </row>
    <row r="672" spans="1:6" x14ac:dyDescent="0.35">
      <c r="A672" s="14">
        <f t="shared" si="11"/>
        <v>43040</v>
      </c>
      <c r="B672" s="2">
        <f>Table1[[#This Row],[date]]-day_zero</f>
        <v>670</v>
      </c>
      <c r="C672" s="16">
        <f>WEEKDAY(Table1[[#This Row],[date]],2 )</f>
        <v>3</v>
      </c>
      <c r="D672" s="1">
        <v>15</v>
      </c>
      <c r="E672" s="1">
        <v>7.5</v>
      </c>
      <c r="F672" s="16">
        <f>IF(Table1[[#This Row],[weekday]]&lt;6,2,0)</f>
        <v>2</v>
      </c>
    </row>
    <row r="673" spans="1:6" x14ac:dyDescent="0.35">
      <c r="A673" s="14">
        <f t="shared" si="11"/>
        <v>43041</v>
      </c>
      <c r="B673" s="2">
        <f>Table1[[#This Row],[date]]-day_zero</f>
        <v>671</v>
      </c>
      <c r="C673" s="16">
        <f>WEEKDAY(Table1[[#This Row],[date]],2 )</f>
        <v>4</v>
      </c>
      <c r="D673" s="1">
        <v>15</v>
      </c>
      <c r="E673" s="1">
        <v>7.5</v>
      </c>
      <c r="F673" s="16">
        <f>IF(Table1[[#This Row],[weekday]]&lt;6,2,0)</f>
        <v>2</v>
      </c>
    </row>
    <row r="674" spans="1:6" x14ac:dyDescent="0.35">
      <c r="A674" s="14">
        <f t="shared" si="11"/>
        <v>43042</v>
      </c>
      <c r="B674" s="2">
        <f>Table1[[#This Row],[date]]-day_zero</f>
        <v>672</v>
      </c>
      <c r="C674" s="16">
        <f>WEEKDAY(Table1[[#This Row],[date]],2 )</f>
        <v>5</v>
      </c>
      <c r="D674" s="1">
        <v>15</v>
      </c>
      <c r="E674" s="1">
        <v>7.5</v>
      </c>
      <c r="F674" s="16">
        <f>IF(Table1[[#This Row],[weekday]]&lt;6,2,0)</f>
        <v>2</v>
      </c>
    </row>
    <row r="675" spans="1:6" x14ac:dyDescent="0.35">
      <c r="A675" s="14">
        <f t="shared" si="11"/>
        <v>43043</v>
      </c>
      <c r="B675" s="2">
        <f>Table1[[#This Row],[date]]-day_zero</f>
        <v>673</v>
      </c>
      <c r="C675" s="16">
        <f>WEEKDAY(Table1[[#This Row],[date]],2 )</f>
        <v>6</v>
      </c>
      <c r="D675" s="1">
        <v>15</v>
      </c>
      <c r="E675" s="1">
        <v>7.5</v>
      </c>
      <c r="F675" s="16">
        <f>IF(Table1[[#This Row],[weekday]]&lt;6,2,0)</f>
        <v>0</v>
      </c>
    </row>
    <row r="676" spans="1:6" x14ac:dyDescent="0.35">
      <c r="A676" s="14">
        <f t="shared" si="11"/>
        <v>43044</v>
      </c>
      <c r="B676" s="2">
        <f>Table1[[#This Row],[date]]-day_zero</f>
        <v>674</v>
      </c>
      <c r="C676" s="16">
        <f>WEEKDAY(Table1[[#This Row],[date]],2 )</f>
        <v>7</v>
      </c>
      <c r="D676" s="1">
        <v>15</v>
      </c>
      <c r="E676" s="1">
        <v>7.5</v>
      </c>
      <c r="F676" s="16">
        <f>IF(Table1[[#This Row],[weekday]]&lt;6,2,0)</f>
        <v>0</v>
      </c>
    </row>
    <row r="677" spans="1:6" x14ac:dyDescent="0.35">
      <c r="A677" s="14">
        <f t="shared" si="11"/>
        <v>43045</v>
      </c>
      <c r="B677" s="2">
        <f>Table1[[#This Row],[date]]-day_zero</f>
        <v>675</v>
      </c>
      <c r="C677" s="16">
        <f>WEEKDAY(Table1[[#This Row],[date]],2 )</f>
        <v>1</v>
      </c>
      <c r="D677" s="1">
        <v>15</v>
      </c>
      <c r="E677" s="1">
        <v>7.5</v>
      </c>
      <c r="F677" s="16">
        <f>IF(Table1[[#This Row],[weekday]]&lt;6,2,0)</f>
        <v>2</v>
      </c>
    </row>
    <row r="678" spans="1:6" x14ac:dyDescent="0.35">
      <c r="A678" s="14">
        <f t="shared" si="11"/>
        <v>43046</v>
      </c>
      <c r="B678" s="2">
        <f>Table1[[#This Row],[date]]-day_zero</f>
        <v>676</v>
      </c>
      <c r="C678" s="16">
        <f>WEEKDAY(Table1[[#This Row],[date]],2 )</f>
        <v>2</v>
      </c>
      <c r="D678" s="1">
        <v>15</v>
      </c>
      <c r="E678" s="1">
        <v>7.5</v>
      </c>
      <c r="F678" s="16">
        <f>IF(Table1[[#This Row],[weekday]]&lt;6,2,0)</f>
        <v>2</v>
      </c>
    </row>
    <row r="679" spans="1:6" x14ac:dyDescent="0.35">
      <c r="A679" s="14">
        <f t="shared" si="11"/>
        <v>43047</v>
      </c>
      <c r="B679" s="2">
        <f>Table1[[#This Row],[date]]-day_zero</f>
        <v>677</v>
      </c>
      <c r="C679" s="16">
        <f>WEEKDAY(Table1[[#This Row],[date]],2 )</f>
        <v>3</v>
      </c>
      <c r="D679" s="1">
        <v>15</v>
      </c>
      <c r="E679" s="1">
        <v>7.5</v>
      </c>
      <c r="F679" s="16">
        <f>IF(Table1[[#This Row],[weekday]]&lt;6,2,0)</f>
        <v>2</v>
      </c>
    </row>
    <row r="680" spans="1:6" x14ac:dyDescent="0.35">
      <c r="A680" s="14">
        <f t="shared" si="11"/>
        <v>43048</v>
      </c>
      <c r="B680" s="2">
        <f>Table1[[#This Row],[date]]-day_zero</f>
        <v>678</v>
      </c>
      <c r="C680" s="16">
        <f>WEEKDAY(Table1[[#This Row],[date]],2 )</f>
        <v>4</v>
      </c>
      <c r="D680" s="1">
        <v>15</v>
      </c>
      <c r="E680" s="1">
        <v>7.5</v>
      </c>
      <c r="F680" s="16">
        <f>IF(Table1[[#This Row],[weekday]]&lt;6,2,0)</f>
        <v>2</v>
      </c>
    </row>
    <row r="681" spans="1:6" x14ac:dyDescent="0.35">
      <c r="A681" s="14">
        <f t="shared" si="11"/>
        <v>43049</v>
      </c>
      <c r="B681" s="2">
        <f>Table1[[#This Row],[date]]-day_zero</f>
        <v>679</v>
      </c>
      <c r="C681" s="16">
        <f>WEEKDAY(Table1[[#This Row],[date]],2 )</f>
        <v>5</v>
      </c>
      <c r="D681" s="1">
        <v>15</v>
      </c>
      <c r="E681" s="1">
        <v>7.5</v>
      </c>
      <c r="F681" s="16">
        <f>IF(Table1[[#This Row],[weekday]]&lt;6,2,0)</f>
        <v>2</v>
      </c>
    </row>
    <row r="682" spans="1:6" x14ac:dyDescent="0.35">
      <c r="A682" s="14">
        <f t="shared" si="11"/>
        <v>43050</v>
      </c>
      <c r="B682" s="2">
        <f>Table1[[#This Row],[date]]-day_zero</f>
        <v>680</v>
      </c>
      <c r="C682" s="16">
        <f>WEEKDAY(Table1[[#This Row],[date]],2 )</f>
        <v>6</v>
      </c>
      <c r="D682" s="1">
        <v>15</v>
      </c>
      <c r="E682" s="1">
        <v>7.5</v>
      </c>
      <c r="F682" s="16">
        <f>IF(Table1[[#This Row],[weekday]]&lt;6,2,0)</f>
        <v>0</v>
      </c>
    </row>
    <row r="683" spans="1:6" x14ac:dyDescent="0.35">
      <c r="A683" s="14">
        <f t="shared" si="11"/>
        <v>43051</v>
      </c>
      <c r="B683" s="2">
        <f>Table1[[#This Row],[date]]-day_zero</f>
        <v>681</v>
      </c>
      <c r="C683" s="16">
        <f>WEEKDAY(Table1[[#This Row],[date]],2 )</f>
        <v>7</v>
      </c>
      <c r="D683" s="1">
        <v>15</v>
      </c>
      <c r="E683" s="1">
        <v>7.5</v>
      </c>
      <c r="F683" s="16">
        <f>IF(Table1[[#This Row],[weekday]]&lt;6,2,0)</f>
        <v>0</v>
      </c>
    </row>
    <row r="684" spans="1:6" x14ac:dyDescent="0.35">
      <c r="A684" s="14">
        <f t="shared" si="11"/>
        <v>43052</v>
      </c>
      <c r="B684" s="2">
        <f>Table1[[#This Row],[date]]-day_zero</f>
        <v>682</v>
      </c>
      <c r="C684" s="16">
        <f>WEEKDAY(Table1[[#This Row],[date]],2 )</f>
        <v>1</v>
      </c>
      <c r="D684" s="1">
        <v>15</v>
      </c>
      <c r="E684" s="1">
        <v>7.5</v>
      </c>
      <c r="F684" s="16">
        <f>IF(Table1[[#This Row],[weekday]]&lt;6,2,0)</f>
        <v>2</v>
      </c>
    </row>
    <row r="685" spans="1:6" x14ac:dyDescent="0.35">
      <c r="A685" s="14">
        <f t="shared" si="11"/>
        <v>43053</v>
      </c>
      <c r="B685" s="2">
        <f>Table1[[#This Row],[date]]-day_zero</f>
        <v>683</v>
      </c>
      <c r="C685" s="16">
        <f>WEEKDAY(Table1[[#This Row],[date]],2 )</f>
        <v>2</v>
      </c>
      <c r="D685" s="1">
        <v>15</v>
      </c>
      <c r="E685" s="1">
        <v>7.5</v>
      </c>
      <c r="F685" s="16">
        <f>IF(Table1[[#This Row],[weekday]]&lt;6,2,0)</f>
        <v>2</v>
      </c>
    </row>
    <row r="686" spans="1:6" x14ac:dyDescent="0.35">
      <c r="A686" s="14">
        <f t="shared" si="11"/>
        <v>43054</v>
      </c>
      <c r="B686" s="2">
        <f>Table1[[#This Row],[date]]-day_zero</f>
        <v>684</v>
      </c>
      <c r="C686" s="16">
        <f>WEEKDAY(Table1[[#This Row],[date]],2 )</f>
        <v>3</v>
      </c>
      <c r="D686" s="1">
        <v>15</v>
      </c>
      <c r="E686" s="1">
        <v>7.5</v>
      </c>
      <c r="F686" s="16">
        <f>IF(Table1[[#This Row],[weekday]]&lt;6,2,0)</f>
        <v>2</v>
      </c>
    </row>
    <row r="687" spans="1:6" x14ac:dyDescent="0.35">
      <c r="A687" s="14">
        <f t="shared" si="11"/>
        <v>43055</v>
      </c>
      <c r="B687" s="2">
        <f>Table1[[#This Row],[date]]-day_zero</f>
        <v>685</v>
      </c>
      <c r="C687" s="16">
        <f>WEEKDAY(Table1[[#This Row],[date]],2 )</f>
        <v>4</v>
      </c>
      <c r="D687" s="1">
        <v>15</v>
      </c>
      <c r="E687" s="1">
        <v>7.5</v>
      </c>
      <c r="F687" s="16">
        <f>IF(Table1[[#This Row],[weekday]]&lt;6,2,0)</f>
        <v>2</v>
      </c>
    </row>
    <row r="688" spans="1:6" x14ac:dyDescent="0.35">
      <c r="A688" s="14">
        <f t="shared" si="11"/>
        <v>43056</v>
      </c>
      <c r="B688" s="2">
        <f>Table1[[#This Row],[date]]-day_zero</f>
        <v>686</v>
      </c>
      <c r="C688" s="16">
        <f>WEEKDAY(Table1[[#This Row],[date]],2 )</f>
        <v>5</v>
      </c>
      <c r="D688" s="1">
        <v>15</v>
      </c>
      <c r="E688" s="1">
        <v>7.5</v>
      </c>
      <c r="F688" s="16">
        <f>IF(Table1[[#This Row],[weekday]]&lt;6,2,0)</f>
        <v>2</v>
      </c>
    </row>
    <row r="689" spans="1:6" x14ac:dyDescent="0.35">
      <c r="A689" s="14">
        <f t="shared" si="11"/>
        <v>43057</v>
      </c>
      <c r="B689" s="2">
        <f>Table1[[#This Row],[date]]-day_zero</f>
        <v>687</v>
      </c>
      <c r="C689" s="16">
        <f>WEEKDAY(Table1[[#This Row],[date]],2 )</f>
        <v>6</v>
      </c>
      <c r="D689" s="1">
        <v>15</v>
      </c>
      <c r="E689" s="1">
        <v>7.5</v>
      </c>
      <c r="F689" s="16">
        <f>IF(Table1[[#This Row],[weekday]]&lt;6,2,0)</f>
        <v>0</v>
      </c>
    </row>
    <row r="690" spans="1:6" x14ac:dyDescent="0.35">
      <c r="A690" s="14">
        <f t="shared" si="11"/>
        <v>43058</v>
      </c>
      <c r="B690" s="2">
        <f>Table1[[#This Row],[date]]-day_zero</f>
        <v>688</v>
      </c>
      <c r="C690" s="16">
        <f>WEEKDAY(Table1[[#This Row],[date]],2 )</f>
        <v>7</v>
      </c>
      <c r="D690" s="1">
        <v>15</v>
      </c>
      <c r="E690" s="1">
        <v>7.5</v>
      </c>
      <c r="F690" s="16">
        <f>IF(Table1[[#This Row],[weekday]]&lt;6,2,0)</f>
        <v>0</v>
      </c>
    </row>
    <row r="691" spans="1:6" x14ac:dyDescent="0.35">
      <c r="A691" s="14">
        <f t="shared" si="11"/>
        <v>43059</v>
      </c>
      <c r="B691" s="2">
        <f>Table1[[#This Row],[date]]-day_zero</f>
        <v>689</v>
      </c>
      <c r="C691" s="16">
        <f>WEEKDAY(Table1[[#This Row],[date]],2 )</f>
        <v>1</v>
      </c>
      <c r="D691" s="1">
        <v>15</v>
      </c>
      <c r="E691" s="1">
        <v>7.5</v>
      </c>
      <c r="F691" s="16">
        <f>IF(Table1[[#This Row],[weekday]]&lt;6,2,0)</f>
        <v>2</v>
      </c>
    </row>
    <row r="692" spans="1:6" x14ac:dyDescent="0.35">
      <c r="A692" s="14">
        <f t="shared" si="11"/>
        <v>43060</v>
      </c>
      <c r="B692" s="2">
        <f>Table1[[#This Row],[date]]-day_zero</f>
        <v>690</v>
      </c>
      <c r="C692" s="16">
        <f>WEEKDAY(Table1[[#This Row],[date]],2 )</f>
        <v>2</v>
      </c>
      <c r="D692" s="1">
        <v>15</v>
      </c>
      <c r="E692" s="1">
        <v>7.5</v>
      </c>
      <c r="F692" s="16">
        <f>IF(Table1[[#This Row],[weekday]]&lt;6,2,0)</f>
        <v>2</v>
      </c>
    </row>
    <row r="693" spans="1:6" x14ac:dyDescent="0.35">
      <c r="A693" s="14">
        <f t="shared" si="11"/>
        <v>43061</v>
      </c>
      <c r="B693" s="2">
        <f>Table1[[#This Row],[date]]-day_zero</f>
        <v>691</v>
      </c>
      <c r="C693" s="16">
        <f>WEEKDAY(Table1[[#This Row],[date]],2 )</f>
        <v>3</v>
      </c>
      <c r="D693" s="1">
        <v>15</v>
      </c>
      <c r="E693" s="1">
        <v>7.5</v>
      </c>
      <c r="F693" s="16">
        <f>IF(Table1[[#This Row],[weekday]]&lt;6,2,0)</f>
        <v>2</v>
      </c>
    </row>
    <row r="694" spans="1:6" x14ac:dyDescent="0.35">
      <c r="A694" s="14">
        <f t="shared" si="11"/>
        <v>43062</v>
      </c>
      <c r="B694" s="2">
        <f>Table1[[#This Row],[date]]-day_zero</f>
        <v>692</v>
      </c>
      <c r="C694" s="16">
        <f>WEEKDAY(Table1[[#This Row],[date]],2 )</f>
        <v>4</v>
      </c>
      <c r="D694" s="1">
        <v>15</v>
      </c>
      <c r="E694" s="1">
        <v>7.5</v>
      </c>
      <c r="F694" s="16">
        <f>IF(Table1[[#This Row],[weekday]]&lt;6,2,0)</f>
        <v>2</v>
      </c>
    </row>
    <row r="695" spans="1:6" x14ac:dyDescent="0.35">
      <c r="A695" s="14">
        <f t="shared" si="11"/>
        <v>43063</v>
      </c>
      <c r="B695" s="2">
        <f>Table1[[#This Row],[date]]-day_zero</f>
        <v>693</v>
      </c>
      <c r="C695" s="16">
        <f>WEEKDAY(Table1[[#This Row],[date]],2 )</f>
        <v>5</v>
      </c>
      <c r="D695" s="1">
        <v>15</v>
      </c>
      <c r="E695" s="1">
        <v>7.5</v>
      </c>
      <c r="F695" s="16">
        <f>IF(Table1[[#This Row],[weekday]]&lt;6,2,0)</f>
        <v>2</v>
      </c>
    </row>
    <row r="696" spans="1:6" x14ac:dyDescent="0.35">
      <c r="A696" s="14">
        <f t="shared" si="11"/>
        <v>43064</v>
      </c>
      <c r="B696" s="2">
        <f>Table1[[#This Row],[date]]-day_zero</f>
        <v>694</v>
      </c>
      <c r="C696" s="16">
        <f>WEEKDAY(Table1[[#This Row],[date]],2 )</f>
        <v>6</v>
      </c>
      <c r="D696" s="1">
        <v>15</v>
      </c>
      <c r="E696" s="1">
        <v>7.5</v>
      </c>
      <c r="F696" s="16">
        <f>IF(Table1[[#This Row],[weekday]]&lt;6,2,0)</f>
        <v>0</v>
      </c>
    </row>
    <row r="697" spans="1:6" x14ac:dyDescent="0.35">
      <c r="A697" s="14">
        <f t="shared" si="11"/>
        <v>43065</v>
      </c>
      <c r="B697" s="2">
        <f>Table1[[#This Row],[date]]-day_zero</f>
        <v>695</v>
      </c>
      <c r="C697" s="16">
        <f>WEEKDAY(Table1[[#This Row],[date]],2 )</f>
        <v>7</v>
      </c>
      <c r="D697" s="1">
        <v>15</v>
      </c>
      <c r="E697" s="1">
        <v>7.5</v>
      </c>
      <c r="F697" s="16">
        <f>IF(Table1[[#This Row],[weekday]]&lt;6,2,0)</f>
        <v>0</v>
      </c>
    </row>
    <row r="698" spans="1:6" x14ac:dyDescent="0.35">
      <c r="A698" s="14">
        <f t="shared" si="11"/>
        <v>43066</v>
      </c>
      <c r="B698" s="2">
        <f>Table1[[#This Row],[date]]-day_zero</f>
        <v>696</v>
      </c>
      <c r="C698" s="16">
        <f>WEEKDAY(Table1[[#This Row],[date]],2 )</f>
        <v>1</v>
      </c>
      <c r="D698" s="1">
        <v>15</v>
      </c>
      <c r="E698" s="1">
        <v>7.5</v>
      </c>
      <c r="F698" s="16">
        <f>IF(Table1[[#This Row],[weekday]]&lt;6,2,0)</f>
        <v>2</v>
      </c>
    </row>
    <row r="699" spans="1:6" x14ac:dyDescent="0.35">
      <c r="A699" s="14">
        <f t="shared" si="11"/>
        <v>43067</v>
      </c>
      <c r="B699" s="2">
        <f>Table1[[#This Row],[date]]-day_zero</f>
        <v>697</v>
      </c>
      <c r="C699" s="16">
        <f>WEEKDAY(Table1[[#This Row],[date]],2 )</f>
        <v>2</v>
      </c>
      <c r="D699" s="1">
        <v>15</v>
      </c>
      <c r="E699" s="1">
        <v>7.5</v>
      </c>
      <c r="F699" s="16">
        <f>IF(Table1[[#This Row],[weekday]]&lt;6,2,0)</f>
        <v>2</v>
      </c>
    </row>
    <row r="700" spans="1:6" x14ac:dyDescent="0.35">
      <c r="A700" s="14">
        <f t="shared" si="11"/>
        <v>43068</v>
      </c>
      <c r="B700" s="2">
        <f>Table1[[#This Row],[date]]-day_zero</f>
        <v>698</v>
      </c>
      <c r="C700" s="16">
        <f>WEEKDAY(Table1[[#This Row],[date]],2 )</f>
        <v>3</v>
      </c>
      <c r="D700" s="1">
        <v>15</v>
      </c>
      <c r="E700" s="1">
        <v>7.5</v>
      </c>
      <c r="F700" s="16">
        <f>IF(Table1[[#This Row],[weekday]]&lt;6,2,0)</f>
        <v>2</v>
      </c>
    </row>
    <row r="701" spans="1:6" x14ac:dyDescent="0.35">
      <c r="A701" s="14">
        <f t="shared" si="11"/>
        <v>43069</v>
      </c>
      <c r="B701" s="2">
        <f>Table1[[#This Row],[date]]-day_zero</f>
        <v>699</v>
      </c>
      <c r="C701" s="16">
        <f>WEEKDAY(Table1[[#This Row],[date]],2 )</f>
        <v>4</v>
      </c>
      <c r="D701" s="1">
        <v>15</v>
      </c>
      <c r="E701" s="1">
        <v>7.5</v>
      </c>
      <c r="F701" s="16">
        <f>IF(Table1[[#This Row],[weekday]]&lt;6,2,0)</f>
        <v>2</v>
      </c>
    </row>
    <row r="702" spans="1:6" x14ac:dyDescent="0.35">
      <c r="A702" s="14">
        <f t="shared" si="11"/>
        <v>43070</v>
      </c>
      <c r="B702" s="2">
        <f>Table1[[#This Row],[date]]-day_zero</f>
        <v>700</v>
      </c>
      <c r="C702" s="16">
        <f>WEEKDAY(Table1[[#This Row],[date]],2 )</f>
        <v>5</v>
      </c>
      <c r="D702" s="1">
        <v>15</v>
      </c>
      <c r="E702" s="1">
        <v>7.5</v>
      </c>
      <c r="F702" s="16">
        <f>IF(Table1[[#This Row],[weekday]]&lt;6,2,0)</f>
        <v>2</v>
      </c>
    </row>
    <row r="703" spans="1:6" x14ac:dyDescent="0.35">
      <c r="A703" s="14">
        <f t="shared" si="11"/>
        <v>43071</v>
      </c>
      <c r="B703" s="2">
        <f>Table1[[#This Row],[date]]-day_zero</f>
        <v>701</v>
      </c>
      <c r="C703" s="16">
        <f>WEEKDAY(Table1[[#This Row],[date]],2 )</f>
        <v>6</v>
      </c>
      <c r="D703" s="1">
        <v>15</v>
      </c>
      <c r="E703" s="1">
        <v>7.5</v>
      </c>
      <c r="F703" s="16">
        <f>IF(Table1[[#This Row],[weekday]]&lt;6,2,0)</f>
        <v>0</v>
      </c>
    </row>
    <row r="704" spans="1:6" x14ac:dyDescent="0.35">
      <c r="A704" s="14">
        <f t="shared" si="11"/>
        <v>43072</v>
      </c>
      <c r="B704" s="2">
        <f>Table1[[#This Row],[date]]-day_zero</f>
        <v>702</v>
      </c>
      <c r="C704" s="16">
        <f>WEEKDAY(Table1[[#This Row],[date]],2 )</f>
        <v>7</v>
      </c>
      <c r="D704" s="1">
        <v>15</v>
      </c>
      <c r="E704" s="1">
        <v>7.5</v>
      </c>
      <c r="F704" s="16">
        <f>IF(Table1[[#This Row],[weekday]]&lt;6,2,0)</f>
        <v>0</v>
      </c>
    </row>
    <row r="705" spans="1:6" x14ac:dyDescent="0.35">
      <c r="A705" s="14">
        <f t="shared" si="11"/>
        <v>43073</v>
      </c>
      <c r="B705" s="2">
        <f>Table1[[#This Row],[date]]-day_zero</f>
        <v>703</v>
      </c>
      <c r="C705" s="16">
        <f>WEEKDAY(Table1[[#This Row],[date]],2 )</f>
        <v>1</v>
      </c>
      <c r="D705" s="1">
        <v>15</v>
      </c>
      <c r="E705" s="1">
        <v>7.5</v>
      </c>
      <c r="F705" s="16">
        <f>IF(Table1[[#This Row],[weekday]]&lt;6,2,0)</f>
        <v>2</v>
      </c>
    </row>
    <row r="706" spans="1:6" x14ac:dyDescent="0.35">
      <c r="A706" s="14">
        <f t="shared" si="11"/>
        <v>43074</v>
      </c>
      <c r="B706" s="2">
        <f>Table1[[#This Row],[date]]-day_zero</f>
        <v>704</v>
      </c>
      <c r="C706" s="16">
        <f>WEEKDAY(Table1[[#This Row],[date]],2 )</f>
        <v>2</v>
      </c>
      <c r="D706" s="1">
        <v>15</v>
      </c>
      <c r="E706" s="1">
        <v>7.5</v>
      </c>
      <c r="F706" s="16">
        <f>IF(Table1[[#This Row],[weekday]]&lt;6,2,0)</f>
        <v>2</v>
      </c>
    </row>
    <row r="707" spans="1:6" x14ac:dyDescent="0.35">
      <c r="A707" s="14">
        <f t="shared" si="11"/>
        <v>43075</v>
      </c>
      <c r="B707" s="2">
        <f>Table1[[#This Row],[date]]-day_zero</f>
        <v>705</v>
      </c>
      <c r="C707" s="16">
        <f>WEEKDAY(Table1[[#This Row],[date]],2 )</f>
        <v>3</v>
      </c>
      <c r="D707" s="1">
        <v>15</v>
      </c>
      <c r="E707" s="1">
        <v>7.5</v>
      </c>
      <c r="F707" s="16">
        <f>IF(Table1[[#This Row],[weekday]]&lt;6,2,0)</f>
        <v>2</v>
      </c>
    </row>
    <row r="708" spans="1:6" x14ac:dyDescent="0.35">
      <c r="A708" s="14">
        <f t="shared" si="11"/>
        <v>43076</v>
      </c>
      <c r="B708" s="2">
        <f>Table1[[#This Row],[date]]-day_zero</f>
        <v>706</v>
      </c>
      <c r="C708" s="16">
        <f>WEEKDAY(Table1[[#This Row],[date]],2 )</f>
        <v>4</v>
      </c>
      <c r="D708" s="1">
        <v>15</v>
      </c>
      <c r="E708" s="1">
        <v>7.5</v>
      </c>
      <c r="F708" s="16">
        <f>IF(Table1[[#This Row],[weekday]]&lt;6,2,0)</f>
        <v>2</v>
      </c>
    </row>
    <row r="709" spans="1:6" x14ac:dyDescent="0.35">
      <c r="A709" s="14">
        <f t="shared" si="11"/>
        <v>43077</v>
      </c>
      <c r="B709" s="2">
        <f>Table1[[#This Row],[date]]-day_zero</f>
        <v>707</v>
      </c>
      <c r="C709" s="16">
        <f>WEEKDAY(Table1[[#This Row],[date]],2 )</f>
        <v>5</v>
      </c>
      <c r="D709" s="1">
        <v>15</v>
      </c>
      <c r="E709" s="1">
        <v>7.5</v>
      </c>
      <c r="F709" s="16">
        <f>IF(Table1[[#This Row],[weekday]]&lt;6,2,0)</f>
        <v>2</v>
      </c>
    </row>
    <row r="710" spans="1:6" x14ac:dyDescent="0.35">
      <c r="A710" s="14">
        <f t="shared" si="11"/>
        <v>43078</v>
      </c>
      <c r="B710" s="2">
        <f>Table1[[#This Row],[date]]-day_zero</f>
        <v>708</v>
      </c>
      <c r="C710" s="16">
        <f>WEEKDAY(Table1[[#This Row],[date]],2 )</f>
        <v>6</v>
      </c>
      <c r="D710" s="1">
        <v>15</v>
      </c>
      <c r="E710" s="1">
        <v>7.5</v>
      </c>
      <c r="F710" s="16">
        <f>IF(Table1[[#This Row],[weekday]]&lt;6,2,0)</f>
        <v>0</v>
      </c>
    </row>
    <row r="711" spans="1:6" x14ac:dyDescent="0.35">
      <c r="A711" s="14">
        <f t="shared" si="11"/>
        <v>43079</v>
      </c>
      <c r="B711" s="2">
        <f>Table1[[#This Row],[date]]-day_zero</f>
        <v>709</v>
      </c>
      <c r="C711" s="16">
        <f>WEEKDAY(Table1[[#This Row],[date]],2 )</f>
        <v>7</v>
      </c>
      <c r="D711" s="1">
        <v>15</v>
      </c>
      <c r="E711" s="1">
        <v>7.5</v>
      </c>
      <c r="F711" s="16">
        <f>IF(Table1[[#This Row],[weekday]]&lt;6,2,0)</f>
        <v>0</v>
      </c>
    </row>
    <row r="712" spans="1:6" x14ac:dyDescent="0.35">
      <c r="A712" s="14">
        <f t="shared" si="11"/>
        <v>43080</v>
      </c>
      <c r="B712" s="2">
        <f>Table1[[#This Row],[date]]-day_zero</f>
        <v>710</v>
      </c>
      <c r="C712" s="16">
        <f>WEEKDAY(Table1[[#This Row],[date]],2 )</f>
        <v>1</v>
      </c>
      <c r="D712" s="1">
        <v>15</v>
      </c>
      <c r="E712" s="1">
        <v>7.5</v>
      </c>
      <c r="F712" s="16">
        <f>IF(Table1[[#This Row],[weekday]]&lt;6,2,0)</f>
        <v>2</v>
      </c>
    </row>
    <row r="713" spans="1:6" x14ac:dyDescent="0.35">
      <c r="A713" s="14">
        <f t="shared" si="11"/>
        <v>43081</v>
      </c>
      <c r="B713" s="2">
        <f>Table1[[#This Row],[date]]-day_zero</f>
        <v>711</v>
      </c>
      <c r="C713" s="16">
        <f>WEEKDAY(Table1[[#This Row],[date]],2 )</f>
        <v>2</v>
      </c>
      <c r="D713" s="1">
        <v>15</v>
      </c>
      <c r="E713" s="1">
        <v>7.5</v>
      </c>
      <c r="F713" s="16">
        <f>IF(Table1[[#This Row],[weekday]]&lt;6,2,0)</f>
        <v>2</v>
      </c>
    </row>
    <row r="714" spans="1:6" x14ac:dyDescent="0.35">
      <c r="A714" s="14">
        <f t="shared" si="11"/>
        <v>43082</v>
      </c>
      <c r="B714" s="2">
        <f>Table1[[#This Row],[date]]-day_zero</f>
        <v>712</v>
      </c>
      <c r="C714" s="16">
        <f>WEEKDAY(Table1[[#This Row],[date]],2 )</f>
        <v>3</v>
      </c>
      <c r="D714" s="1">
        <v>15</v>
      </c>
      <c r="E714" s="1">
        <v>7.5</v>
      </c>
      <c r="F714" s="16">
        <f>IF(Table1[[#This Row],[weekday]]&lt;6,2,0)</f>
        <v>2</v>
      </c>
    </row>
    <row r="715" spans="1:6" x14ac:dyDescent="0.35">
      <c r="A715" s="14">
        <f t="shared" si="11"/>
        <v>43083</v>
      </c>
      <c r="B715" s="2">
        <f>Table1[[#This Row],[date]]-day_zero</f>
        <v>713</v>
      </c>
      <c r="C715" s="16">
        <f>WEEKDAY(Table1[[#This Row],[date]],2 )</f>
        <v>4</v>
      </c>
      <c r="D715" s="1">
        <v>15</v>
      </c>
      <c r="E715" s="1">
        <v>7.5</v>
      </c>
      <c r="F715" s="16">
        <f>IF(Table1[[#This Row],[weekday]]&lt;6,2,0)</f>
        <v>2</v>
      </c>
    </row>
    <row r="716" spans="1:6" x14ac:dyDescent="0.35">
      <c r="A716" s="14">
        <f t="shared" ref="A716:A779" si="12">A715+1</f>
        <v>43084</v>
      </c>
      <c r="B716" s="2">
        <f>Table1[[#This Row],[date]]-day_zero</f>
        <v>714</v>
      </c>
      <c r="C716" s="16">
        <f>WEEKDAY(Table1[[#This Row],[date]],2 )</f>
        <v>5</v>
      </c>
      <c r="D716" s="1">
        <v>15</v>
      </c>
      <c r="E716" s="1">
        <v>7.5</v>
      </c>
      <c r="F716" s="16">
        <f>IF(Table1[[#This Row],[weekday]]&lt;6,2,0)</f>
        <v>2</v>
      </c>
    </row>
    <row r="717" spans="1:6" x14ac:dyDescent="0.35">
      <c r="A717" s="14">
        <f t="shared" si="12"/>
        <v>43085</v>
      </c>
      <c r="B717" s="2">
        <f>Table1[[#This Row],[date]]-day_zero</f>
        <v>715</v>
      </c>
      <c r="C717" s="16">
        <f>WEEKDAY(Table1[[#This Row],[date]],2 )</f>
        <v>6</v>
      </c>
      <c r="D717" s="1">
        <v>15</v>
      </c>
      <c r="E717" s="1">
        <v>7.5</v>
      </c>
      <c r="F717" s="16">
        <f>IF(Table1[[#This Row],[weekday]]&lt;6,2,0)</f>
        <v>0</v>
      </c>
    </row>
    <row r="718" spans="1:6" x14ac:dyDescent="0.35">
      <c r="A718" s="14">
        <f t="shared" si="12"/>
        <v>43086</v>
      </c>
      <c r="B718" s="2">
        <f>Table1[[#This Row],[date]]-day_zero</f>
        <v>716</v>
      </c>
      <c r="C718" s="16">
        <f>WEEKDAY(Table1[[#This Row],[date]],2 )</f>
        <v>7</v>
      </c>
      <c r="D718" s="1">
        <v>15</v>
      </c>
      <c r="E718" s="1">
        <v>7.5</v>
      </c>
      <c r="F718" s="16">
        <f>IF(Table1[[#This Row],[weekday]]&lt;6,2,0)</f>
        <v>0</v>
      </c>
    </row>
    <row r="719" spans="1:6" x14ac:dyDescent="0.35">
      <c r="A719" s="14">
        <f t="shared" si="12"/>
        <v>43087</v>
      </c>
      <c r="B719" s="2">
        <f>Table1[[#This Row],[date]]-day_zero</f>
        <v>717</v>
      </c>
      <c r="C719" s="16">
        <f>WEEKDAY(Table1[[#This Row],[date]],2 )</f>
        <v>1</v>
      </c>
      <c r="D719" s="1">
        <v>15</v>
      </c>
      <c r="E719" s="1">
        <v>7.5</v>
      </c>
      <c r="F719" s="16">
        <f>IF(Table1[[#This Row],[weekday]]&lt;6,2,0)</f>
        <v>2</v>
      </c>
    </row>
    <row r="720" spans="1:6" x14ac:dyDescent="0.35">
      <c r="A720" s="14">
        <f t="shared" si="12"/>
        <v>43088</v>
      </c>
      <c r="B720" s="2">
        <f>Table1[[#This Row],[date]]-day_zero</f>
        <v>718</v>
      </c>
      <c r="C720" s="16">
        <f>WEEKDAY(Table1[[#This Row],[date]],2 )</f>
        <v>2</v>
      </c>
      <c r="D720" s="1">
        <v>15</v>
      </c>
      <c r="E720" s="1">
        <v>7.5</v>
      </c>
      <c r="F720" s="16">
        <f>IF(Table1[[#This Row],[weekday]]&lt;6,2,0)</f>
        <v>2</v>
      </c>
    </row>
    <row r="721" spans="1:6" x14ac:dyDescent="0.35">
      <c r="A721" s="14">
        <f t="shared" si="12"/>
        <v>43089</v>
      </c>
      <c r="B721" s="2">
        <f>Table1[[#This Row],[date]]-day_zero</f>
        <v>719</v>
      </c>
      <c r="C721" s="16">
        <f>WEEKDAY(Table1[[#This Row],[date]],2 )</f>
        <v>3</v>
      </c>
      <c r="D721" s="1">
        <v>15</v>
      </c>
      <c r="E721" s="1">
        <v>7.5</v>
      </c>
      <c r="F721" s="16">
        <f>IF(Table1[[#This Row],[weekday]]&lt;6,2,0)</f>
        <v>2</v>
      </c>
    </row>
    <row r="722" spans="1:6" x14ac:dyDescent="0.35">
      <c r="A722" s="14">
        <f t="shared" si="12"/>
        <v>43090</v>
      </c>
      <c r="B722" s="2">
        <f>Table1[[#This Row],[date]]-day_zero</f>
        <v>720</v>
      </c>
      <c r="C722" s="16">
        <f>WEEKDAY(Table1[[#This Row],[date]],2 )</f>
        <v>4</v>
      </c>
      <c r="D722" s="1">
        <v>15</v>
      </c>
      <c r="E722" s="1">
        <v>7.5</v>
      </c>
      <c r="F722" s="16">
        <f>IF(Table1[[#This Row],[weekday]]&lt;6,2,0)</f>
        <v>2</v>
      </c>
    </row>
    <row r="723" spans="1:6" x14ac:dyDescent="0.35">
      <c r="A723" s="14">
        <f t="shared" si="12"/>
        <v>43091</v>
      </c>
      <c r="B723" s="2">
        <f>Table1[[#This Row],[date]]-day_zero</f>
        <v>721</v>
      </c>
      <c r="C723" s="16">
        <f>WEEKDAY(Table1[[#This Row],[date]],2 )</f>
        <v>5</v>
      </c>
      <c r="D723" s="1">
        <v>15</v>
      </c>
      <c r="E723" s="1">
        <v>7.5</v>
      </c>
      <c r="F723" s="16">
        <f>IF(Table1[[#This Row],[weekday]]&lt;6,2,0)</f>
        <v>2</v>
      </c>
    </row>
    <row r="724" spans="1:6" x14ac:dyDescent="0.35">
      <c r="A724" s="14">
        <f t="shared" si="12"/>
        <v>43092</v>
      </c>
      <c r="B724" s="2">
        <f>Table1[[#This Row],[date]]-day_zero</f>
        <v>722</v>
      </c>
      <c r="C724" s="16">
        <f>WEEKDAY(Table1[[#This Row],[date]],2 )</f>
        <v>6</v>
      </c>
      <c r="D724" s="1">
        <v>15</v>
      </c>
      <c r="E724" s="1">
        <v>7.5</v>
      </c>
      <c r="F724" s="16">
        <f>IF(Table1[[#This Row],[weekday]]&lt;6,2,0)</f>
        <v>0</v>
      </c>
    </row>
    <row r="725" spans="1:6" x14ac:dyDescent="0.35">
      <c r="A725" s="14">
        <f t="shared" si="12"/>
        <v>43093</v>
      </c>
      <c r="B725" s="2">
        <f>Table1[[#This Row],[date]]-day_zero</f>
        <v>723</v>
      </c>
      <c r="C725" s="16">
        <f>WEEKDAY(Table1[[#This Row],[date]],2 )</f>
        <v>7</v>
      </c>
      <c r="D725" s="1">
        <v>15</v>
      </c>
      <c r="E725" s="1">
        <v>7.5</v>
      </c>
      <c r="F725" s="16">
        <f>IF(Table1[[#This Row],[weekday]]&lt;6,2,0)</f>
        <v>0</v>
      </c>
    </row>
    <row r="726" spans="1:6" x14ac:dyDescent="0.35">
      <c r="A726" s="14">
        <f t="shared" si="12"/>
        <v>43094</v>
      </c>
      <c r="B726" s="2">
        <f>Table1[[#This Row],[date]]-day_zero</f>
        <v>724</v>
      </c>
      <c r="C726" s="16">
        <f>WEEKDAY(Table1[[#This Row],[date]],2 )</f>
        <v>1</v>
      </c>
      <c r="D726" s="1">
        <v>15</v>
      </c>
      <c r="E726" s="1">
        <v>7.5</v>
      </c>
      <c r="F726" s="16">
        <f>IF(Table1[[#This Row],[weekday]]&lt;6,2,0)</f>
        <v>2</v>
      </c>
    </row>
    <row r="727" spans="1:6" x14ac:dyDescent="0.35">
      <c r="A727" s="14">
        <f t="shared" si="12"/>
        <v>43095</v>
      </c>
      <c r="B727" s="2">
        <f>Table1[[#This Row],[date]]-day_zero</f>
        <v>725</v>
      </c>
      <c r="C727" s="16">
        <f>WEEKDAY(Table1[[#This Row],[date]],2 )</f>
        <v>2</v>
      </c>
      <c r="D727" s="1">
        <v>15</v>
      </c>
      <c r="E727" s="1">
        <v>7.5</v>
      </c>
      <c r="F727" s="16">
        <f>IF(Table1[[#This Row],[weekday]]&lt;6,2,0)</f>
        <v>2</v>
      </c>
    </row>
    <row r="728" spans="1:6" x14ac:dyDescent="0.35">
      <c r="A728" s="14">
        <f t="shared" si="12"/>
        <v>43096</v>
      </c>
      <c r="B728" s="2">
        <f>Table1[[#This Row],[date]]-day_zero</f>
        <v>726</v>
      </c>
      <c r="C728" s="16">
        <f>WEEKDAY(Table1[[#This Row],[date]],2 )</f>
        <v>3</v>
      </c>
      <c r="D728" s="1">
        <v>15</v>
      </c>
      <c r="E728" s="1">
        <v>7.5</v>
      </c>
      <c r="F728" s="16">
        <f>IF(Table1[[#This Row],[weekday]]&lt;6,2,0)</f>
        <v>2</v>
      </c>
    </row>
    <row r="729" spans="1:6" x14ac:dyDescent="0.35">
      <c r="A729" s="14">
        <f t="shared" si="12"/>
        <v>43097</v>
      </c>
      <c r="B729" s="2">
        <f>Table1[[#This Row],[date]]-day_zero</f>
        <v>727</v>
      </c>
      <c r="C729" s="16">
        <f>WEEKDAY(Table1[[#This Row],[date]],2 )</f>
        <v>4</v>
      </c>
      <c r="D729" s="1">
        <v>15</v>
      </c>
      <c r="E729" s="1">
        <v>7.5</v>
      </c>
      <c r="F729" s="16">
        <f>IF(Table1[[#This Row],[weekday]]&lt;6,2,0)</f>
        <v>2</v>
      </c>
    </row>
    <row r="730" spans="1:6" x14ac:dyDescent="0.35">
      <c r="A730" s="14">
        <f t="shared" si="12"/>
        <v>43098</v>
      </c>
      <c r="B730" s="2">
        <f>Table1[[#This Row],[date]]-day_zero</f>
        <v>728</v>
      </c>
      <c r="C730" s="16">
        <f>WEEKDAY(Table1[[#This Row],[date]],2 )</f>
        <v>5</v>
      </c>
      <c r="D730" s="1">
        <v>15</v>
      </c>
      <c r="E730" s="1">
        <v>7.5</v>
      </c>
      <c r="F730" s="16">
        <f>IF(Table1[[#This Row],[weekday]]&lt;6,2,0)</f>
        <v>2</v>
      </c>
    </row>
    <row r="731" spans="1:6" x14ac:dyDescent="0.35">
      <c r="A731" s="14">
        <f t="shared" si="12"/>
        <v>43099</v>
      </c>
      <c r="B731" s="2">
        <f>Table1[[#This Row],[date]]-day_zero</f>
        <v>729</v>
      </c>
      <c r="C731" s="16">
        <f>WEEKDAY(Table1[[#This Row],[date]],2 )</f>
        <v>6</v>
      </c>
      <c r="D731" s="1">
        <v>15</v>
      </c>
      <c r="E731" s="1">
        <v>7.5</v>
      </c>
      <c r="F731" s="16">
        <f>IF(Table1[[#This Row],[weekday]]&lt;6,2,0)</f>
        <v>0</v>
      </c>
    </row>
    <row r="732" spans="1:6" x14ac:dyDescent="0.35">
      <c r="A732" s="14">
        <f t="shared" si="12"/>
        <v>43100</v>
      </c>
      <c r="B732" s="2">
        <f>Table1[[#This Row],[date]]-day_zero</f>
        <v>730</v>
      </c>
      <c r="C732" s="16">
        <f>WEEKDAY(Table1[[#This Row],[date]],2 )</f>
        <v>7</v>
      </c>
      <c r="D732" s="1">
        <v>15</v>
      </c>
      <c r="E732" s="1">
        <v>7.5</v>
      </c>
      <c r="F732" s="16">
        <f>IF(Table1[[#This Row],[weekday]]&lt;6,2,0)</f>
        <v>0</v>
      </c>
    </row>
    <row r="733" spans="1:6" x14ac:dyDescent="0.35">
      <c r="A733" s="14">
        <f t="shared" si="12"/>
        <v>43101</v>
      </c>
      <c r="B733" s="2">
        <f>Table1[[#This Row],[date]]-day_zero</f>
        <v>731</v>
      </c>
      <c r="C733" s="16">
        <f>WEEKDAY(Table1[[#This Row],[date]],2 )</f>
        <v>1</v>
      </c>
      <c r="D733" s="1">
        <v>15</v>
      </c>
      <c r="E733" s="1">
        <v>7.5</v>
      </c>
      <c r="F733" s="16">
        <f>IF(Table1[[#This Row],[weekday]]&lt;6,2,0)</f>
        <v>2</v>
      </c>
    </row>
    <row r="734" spans="1:6" x14ac:dyDescent="0.35">
      <c r="A734" s="14">
        <f t="shared" si="12"/>
        <v>43102</v>
      </c>
      <c r="B734" s="2">
        <f>Table1[[#This Row],[date]]-day_zero</f>
        <v>732</v>
      </c>
      <c r="C734" s="16">
        <f>WEEKDAY(Table1[[#This Row],[date]],2 )</f>
        <v>2</v>
      </c>
      <c r="D734" s="1">
        <v>15</v>
      </c>
      <c r="E734" s="1">
        <v>7.5</v>
      </c>
      <c r="F734" s="16">
        <f>IF(Table1[[#This Row],[weekday]]&lt;6,2,0)</f>
        <v>2</v>
      </c>
    </row>
    <row r="735" spans="1:6" x14ac:dyDescent="0.35">
      <c r="A735" s="14">
        <f t="shared" si="12"/>
        <v>43103</v>
      </c>
      <c r="B735" s="2">
        <f>Table1[[#This Row],[date]]-day_zero</f>
        <v>733</v>
      </c>
      <c r="C735" s="16">
        <f>WEEKDAY(Table1[[#This Row],[date]],2 )</f>
        <v>3</v>
      </c>
      <c r="D735" s="1">
        <v>15</v>
      </c>
      <c r="E735" s="1">
        <v>7.5</v>
      </c>
      <c r="F735" s="16">
        <f>IF(Table1[[#This Row],[weekday]]&lt;6,2,0)</f>
        <v>2</v>
      </c>
    </row>
    <row r="736" spans="1:6" x14ac:dyDescent="0.35">
      <c r="A736" s="14">
        <f t="shared" si="12"/>
        <v>43104</v>
      </c>
      <c r="B736" s="2">
        <f>Table1[[#This Row],[date]]-day_zero</f>
        <v>734</v>
      </c>
      <c r="C736" s="16">
        <f>WEEKDAY(Table1[[#This Row],[date]],2 )</f>
        <v>4</v>
      </c>
      <c r="D736" s="1">
        <v>15</v>
      </c>
      <c r="E736" s="1">
        <v>7.5</v>
      </c>
      <c r="F736" s="16">
        <f>IF(Table1[[#This Row],[weekday]]&lt;6,2,0)</f>
        <v>2</v>
      </c>
    </row>
    <row r="737" spans="1:6" x14ac:dyDescent="0.35">
      <c r="A737" s="14">
        <f t="shared" si="12"/>
        <v>43105</v>
      </c>
      <c r="B737" s="2">
        <f>Table1[[#This Row],[date]]-day_zero</f>
        <v>735</v>
      </c>
      <c r="C737" s="16">
        <f>WEEKDAY(Table1[[#This Row],[date]],2 )</f>
        <v>5</v>
      </c>
      <c r="D737" s="1">
        <v>15</v>
      </c>
      <c r="E737" s="1">
        <v>7.5</v>
      </c>
      <c r="F737" s="16">
        <f>IF(Table1[[#This Row],[weekday]]&lt;6,2,0)</f>
        <v>2</v>
      </c>
    </row>
    <row r="738" spans="1:6" x14ac:dyDescent="0.35">
      <c r="A738" s="14">
        <f t="shared" si="12"/>
        <v>43106</v>
      </c>
      <c r="B738" s="2">
        <f>Table1[[#This Row],[date]]-day_zero</f>
        <v>736</v>
      </c>
      <c r="C738" s="16">
        <f>WEEKDAY(Table1[[#This Row],[date]],2 )</f>
        <v>6</v>
      </c>
      <c r="D738" s="1">
        <v>15</v>
      </c>
      <c r="E738" s="1">
        <v>7.5</v>
      </c>
      <c r="F738" s="16">
        <f>IF(Table1[[#This Row],[weekday]]&lt;6,2,0)</f>
        <v>0</v>
      </c>
    </row>
    <row r="739" spans="1:6" x14ac:dyDescent="0.35">
      <c r="A739" s="14">
        <f t="shared" si="12"/>
        <v>43107</v>
      </c>
      <c r="B739" s="2">
        <f>Table1[[#This Row],[date]]-day_zero</f>
        <v>737</v>
      </c>
      <c r="C739" s="16">
        <f>WEEKDAY(Table1[[#This Row],[date]],2 )</f>
        <v>7</v>
      </c>
      <c r="D739" s="1">
        <v>15</v>
      </c>
      <c r="E739" s="1">
        <v>7.5</v>
      </c>
      <c r="F739" s="16">
        <f>IF(Table1[[#This Row],[weekday]]&lt;6,2,0)</f>
        <v>0</v>
      </c>
    </row>
    <row r="740" spans="1:6" x14ac:dyDescent="0.35">
      <c r="A740" s="14">
        <f t="shared" si="12"/>
        <v>43108</v>
      </c>
      <c r="B740" s="2">
        <f>Table1[[#This Row],[date]]-day_zero</f>
        <v>738</v>
      </c>
      <c r="C740" s="16">
        <f>WEEKDAY(Table1[[#This Row],[date]],2 )</f>
        <v>1</v>
      </c>
      <c r="D740" s="1">
        <v>15</v>
      </c>
      <c r="E740" s="1">
        <v>7.5</v>
      </c>
      <c r="F740" s="16">
        <f>IF(Table1[[#This Row],[weekday]]&lt;6,2,0)</f>
        <v>2</v>
      </c>
    </row>
    <row r="741" spans="1:6" x14ac:dyDescent="0.35">
      <c r="A741" s="14">
        <f t="shared" si="12"/>
        <v>43109</v>
      </c>
      <c r="B741" s="2">
        <f>Table1[[#This Row],[date]]-day_zero</f>
        <v>739</v>
      </c>
      <c r="C741" s="16">
        <f>WEEKDAY(Table1[[#This Row],[date]],2 )</f>
        <v>2</v>
      </c>
      <c r="D741" s="1">
        <v>15</v>
      </c>
      <c r="E741" s="1">
        <v>7.5</v>
      </c>
      <c r="F741" s="16">
        <f>IF(Table1[[#This Row],[weekday]]&lt;6,2,0)</f>
        <v>2</v>
      </c>
    </row>
    <row r="742" spans="1:6" x14ac:dyDescent="0.35">
      <c r="A742" s="14">
        <f t="shared" si="12"/>
        <v>43110</v>
      </c>
      <c r="B742" s="2">
        <f>Table1[[#This Row],[date]]-day_zero</f>
        <v>740</v>
      </c>
      <c r="C742" s="16">
        <f>WEEKDAY(Table1[[#This Row],[date]],2 )</f>
        <v>3</v>
      </c>
      <c r="D742" s="1">
        <v>15</v>
      </c>
      <c r="E742" s="1">
        <v>7.5</v>
      </c>
      <c r="F742" s="16">
        <f>IF(Table1[[#This Row],[weekday]]&lt;6,2,0)</f>
        <v>2</v>
      </c>
    </row>
    <row r="743" spans="1:6" x14ac:dyDescent="0.35">
      <c r="A743" s="14">
        <f t="shared" si="12"/>
        <v>43111</v>
      </c>
      <c r="B743" s="2">
        <f>Table1[[#This Row],[date]]-day_zero</f>
        <v>741</v>
      </c>
      <c r="C743" s="16">
        <f>WEEKDAY(Table1[[#This Row],[date]],2 )</f>
        <v>4</v>
      </c>
      <c r="D743" s="1">
        <v>15</v>
      </c>
      <c r="E743" s="1">
        <v>7.5</v>
      </c>
      <c r="F743" s="16">
        <f>IF(Table1[[#This Row],[weekday]]&lt;6,2,0)</f>
        <v>2</v>
      </c>
    </row>
    <row r="744" spans="1:6" x14ac:dyDescent="0.35">
      <c r="A744" s="14">
        <f t="shared" si="12"/>
        <v>43112</v>
      </c>
      <c r="B744" s="2">
        <f>Table1[[#This Row],[date]]-day_zero</f>
        <v>742</v>
      </c>
      <c r="C744" s="16">
        <f>WEEKDAY(Table1[[#This Row],[date]],2 )</f>
        <v>5</v>
      </c>
      <c r="D744" s="1">
        <v>15</v>
      </c>
      <c r="E744" s="1">
        <v>7.5</v>
      </c>
      <c r="F744" s="16">
        <f>IF(Table1[[#This Row],[weekday]]&lt;6,2,0)</f>
        <v>2</v>
      </c>
    </row>
    <row r="745" spans="1:6" x14ac:dyDescent="0.35">
      <c r="A745" s="14">
        <f t="shared" si="12"/>
        <v>43113</v>
      </c>
      <c r="B745" s="2">
        <f>Table1[[#This Row],[date]]-day_zero</f>
        <v>743</v>
      </c>
      <c r="C745" s="16">
        <f>WEEKDAY(Table1[[#This Row],[date]],2 )</f>
        <v>6</v>
      </c>
      <c r="D745" s="1">
        <v>15</v>
      </c>
      <c r="E745" s="1">
        <v>7.5</v>
      </c>
      <c r="F745" s="16">
        <f>IF(Table1[[#This Row],[weekday]]&lt;6,2,0)</f>
        <v>0</v>
      </c>
    </row>
    <row r="746" spans="1:6" x14ac:dyDescent="0.35">
      <c r="A746" s="14">
        <f t="shared" si="12"/>
        <v>43114</v>
      </c>
      <c r="B746" s="2">
        <f>Table1[[#This Row],[date]]-day_zero</f>
        <v>744</v>
      </c>
      <c r="C746" s="16">
        <f>WEEKDAY(Table1[[#This Row],[date]],2 )</f>
        <v>7</v>
      </c>
      <c r="D746" s="1">
        <v>15</v>
      </c>
      <c r="E746" s="1">
        <v>7.5</v>
      </c>
      <c r="F746" s="16">
        <f>IF(Table1[[#This Row],[weekday]]&lt;6,2,0)</f>
        <v>0</v>
      </c>
    </row>
    <row r="747" spans="1:6" x14ac:dyDescent="0.35">
      <c r="A747" s="14">
        <f t="shared" si="12"/>
        <v>43115</v>
      </c>
      <c r="B747" s="2">
        <f>Table1[[#This Row],[date]]-day_zero</f>
        <v>745</v>
      </c>
      <c r="C747" s="16">
        <f>WEEKDAY(Table1[[#This Row],[date]],2 )</f>
        <v>1</v>
      </c>
      <c r="D747" s="1">
        <v>15</v>
      </c>
      <c r="E747" s="1">
        <v>7.5</v>
      </c>
      <c r="F747" s="16">
        <f>IF(Table1[[#This Row],[weekday]]&lt;6,2,0)</f>
        <v>2</v>
      </c>
    </row>
    <row r="748" spans="1:6" x14ac:dyDescent="0.35">
      <c r="A748" s="14">
        <f t="shared" si="12"/>
        <v>43116</v>
      </c>
      <c r="B748" s="2">
        <f>Table1[[#This Row],[date]]-day_zero</f>
        <v>746</v>
      </c>
      <c r="C748" s="16">
        <f>WEEKDAY(Table1[[#This Row],[date]],2 )</f>
        <v>2</v>
      </c>
      <c r="D748" s="1">
        <v>15</v>
      </c>
      <c r="E748" s="1">
        <v>7.5</v>
      </c>
      <c r="F748" s="16">
        <f>IF(Table1[[#This Row],[weekday]]&lt;6,2,0)</f>
        <v>2</v>
      </c>
    </row>
    <row r="749" spans="1:6" x14ac:dyDescent="0.35">
      <c r="A749" s="14">
        <f t="shared" si="12"/>
        <v>43117</v>
      </c>
      <c r="B749" s="2">
        <f>Table1[[#This Row],[date]]-day_zero</f>
        <v>747</v>
      </c>
      <c r="C749" s="16">
        <f>WEEKDAY(Table1[[#This Row],[date]],2 )</f>
        <v>3</v>
      </c>
      <c r="D749" s="1">
        <v>15</v>
      </c>
      <c r="E749" s="1">
        <v>7.5</v>
      </c>
      <c r="F749" s="16">
        <f>IF(Table1[[#This Row],[weekday]]&lt;6,2,0)</f>
        <v>2</v>
      </c>
    </row>
    <row r="750" spans="1:6" x14ac:dyDescent="0.35">
      <c r="A750" s="14">
        <f t="shared" si="12"/>
        <v>43118</v>
      </c>
      <c r="B750" s="2">
        <f>Table1[[#This Row],[date]]-day_zero</f>
        <v>748</v>
      </c>
      <c r="C750" s="16">
        <f>WEEKDAY(Table1[[#This Row],[date]],2 )</f>
        <v>4</v>
      </c>
      <c r="D750" s="1">
        <v>15</v>
      </c>
      <c r="E750" s="1">
        <v>7.5</v>
      </c>
      <c r="F750" s="16">
        <f>IF(Table1[[#This Row],[weekday]]&lt;6,2,0)</f>
        <v>2</v>
      </c>
    </row>
    <row r="751" spans="1:6" x14ac:dyDescent="0.35">
      <c r="A751" s="14">
        <f t="shared" si="12"/>
        <v>43119</v>
      </c>
      <c r="B751" s="2">
        <f>Table1[[#This Row],[date]]-day_zero</f>
        <v>749</v>
      </c>
      <c r="C751" s="16">
        <f>WEEKDAY(Table1[[#This Row],[date]],2 )</f>
        <v>5</v>
      </c>
      <c r="D751" s="1">
        <v>15</v>
      </c>
      <c r="E751" s="1">
        <v>7.5</v>
      </c>
      <c r="F751" s="16">
        <f>IF(Table1[[#This Row],[weekday]]&lt;6,2,0)</f>
        <v>2</v>
      </c>
    </row>
    <row r="752" spans="1:6" x14ac:dyDescent="0.35">
      <c r="A752" s="14">
        <f t="shared" si="12"/>
        <v>43120</v>
      </c>
      <c r="B752" s="2">
        <f>Table1[[#This Row],[date]]-day_zero</f>
        <v>750</v>
      </c>
      <c r="C752" s="16">
        <f>WEEKDAY(Table1[[#This Row],[date]],2 )</f>
        <v>6</v>
      </c>
      <c r="D752" s="1">
        <v>15</v>
      </c>
      <c r="E752" s="1">
        <v>7.5</v>
      </c>
      <c r="F752" s="16">
        <f>IF(Table1[[#This Row],[weekday]]&lt;6,2,0)</f>
        <v>0</v>
      </c>
    </row>
    <row r="753" spans="1:6" x14ac:dyDescent="0.35">
      <c r="A753" s="14">
        <f t="shared" si="12"/>
        <v>43121</v>
      </c>
      <c r="B753" s="2">
        <f>Table1[[#This Row],[date]]-day_zero</f>
        <v>751</v>
      </c>
      <c r="C753" s="16">
        <f>WEEKDAY(Table1[[#This Row],[date]],2 )</f>
        <v>7</v>
      </c>
      <c r="D753" s="1">
        <v>15</v>
      </c>
      <c r="E753" s="1">
        <v>7.5</v>
      </c>
      <c r="F753" s="16">
        <f>IF(Table1[[#This Row],[weekday]]&lt;6,2,0)</f>
        <v>0</v>
      </c>
    </row>
    <row r="754" spans="1:6" x14ac:dyDescent="0.35">
      <c r="A754" s="14">
        <f t="shared" si="12"/>
        <v>43122</v>
      </c>
      <c r="B754" s="2">
        <f>Table1[[#This Row],[date]]-day_zero</f>
        <v>752</v>
      </c>
      <c r="C754" s="16">
        <f>WEEKDAY(Table1[[#This Row],[date]],2 )</f>
        <v>1</v>
      </c>
      <c r="D754" s="1">
        <v>15</v>
      </c>
      <c r="E754" s="1">
        <v>7.5</v>
      </c>
      <c r="F754" s="16">
        <f>IF(Table1[[#This Row],[weekday]]&lt;6,2,0)</f>
        <v>2</v>
      </c>
    </row>
    <row r="755" spans="1:6" x14ac:dyDescent="0.35">
      <c r="A755" s="14">
        <f t="shared" si="12"/>
        <v>43123</v>
      </c>
      <c r="B755" s="2">
        <f>Table1[[#This Row],[date]]-day_zero</f>
        <v>753</v>
      </c>
      <c r="C755" s="16">
        <f>WEEKDAY(Table1[[#This Row],[date]],2 )</f>
        <v>2</v>
      </c>
      <c r="D755" s="1">
        <v>15</v>
      </c>
      <c r="E755" s="1">
        <v>7.5</v>
      </c>
      <c r="F755" s="16">
        <f>IF(Table1[[#This Row],[weekday]]&lt;6,2,0)</f>
        <v>2</v>
      </c>
    </row>
    <row r="756" spans="1:6" x14ac:dyDescent="0.35">
      <c r="A756" s="14">
        <f t="shared" si="12"/>
        <v>43124</v>
      </c>
      <c r="B756" s="2">
        <f>Table1[[#This Row],[date]]-day_zero</f>
        <v>754</v>
      </c>
      <c r="C756" s="16">
        <f>WEEKDAY(Table1[[#This Row],[date]],2 )</f>
        <v>3</v>
      </c>
      <c r="D756" s="1">
        <v>15</v>
      </c>
      <c r="E756" s="1">
        <v>7.5</v>
      </c>
      <c r="F756" s="16">
        <f>IF(Table1[[#This Row],[weekday]]&lt;6,2,0)</f>
        <v>2</v>
      </c>
    </row>
    <row r="757" spans="1:6" x14ac:dyDescent="0.35">
      <c r="A757" s="14">
        <f t="shared" si="12"/>
        <v>43125</v>
      </c>
      <c r="B757" s="2">
        <f>Table1[[#This Row],[date]]-day_zero</f>
        <v>755</v>
      </c>
      <c r="C757" s="16">
        <f>WEEKDAY(Table1[[#This Row],[date]],2 )</f>
        <v>4</v>
      </c>
      <c r="D757" s="1">
        <v>15</v>
      </c>
      <c r="E757" s="1">
        <v>7.5</v>
      </c>
      <c r="F757" s="16">
        <f>IF(Table1[[#This Row],[weekday]]&lt;6,2,0)</f>
        <v>2</v>
      </c>
    </row>
    <row r="758" spans="1:6" x14ac:dyDescent="0.35">
      <c r="A758" s="14">
        <f t="shared" si="12"/>
        <v>43126</v>
      </c>
      <c r="B758" s="2">
        <f>Table1[[#This Row],[date]]-day_zero</f>
        <v>756</v>
      </c>
      <c r="C758" s="16">
        <f>WEEKDAY(Table1[[#This Row],[date]],2 )</f>
        <v>5</v>
      </c>
      <c r="D758" s="1">
        <v>15</v>
      </c>
      <c r="E758" s="1">
        <v>7.5</v>
      </c>
      <c r="F758" s="16">
        <f>IF(Table1[[#This Row],[weekday]]&lt;6,2,0)</f>
        <v>2</v>
      </c>
    </row>
    <row r="759" spans="1:6" x14ac:dyDescent="0.35">
      <c r="A759" s="14">
        <f t="shared" si="12"/>
        <v>43127</v>
      </c>
      <c r="B759" s="2">
        <f>Table1[[#This Row],[date]]-day_zero</f>
        <v>757</v>
      </c>
      <c r="C759" s="16">
        <f>WEEKDAY(Table1[[#This Row],[date]],2 )</f>
        <v>6</v>
      </c>
      <c r="D759" s="1">
        <v>15</v>
      </c>
      <c r="E759" s="1">
        <v>7.5</v>
      </c>
      <c r="F759" s="16">
        <f>IF(Table1[[#This Row],[weekday]]&lt;6,2,0)</f>
        <v>0</v>
      </c>
    </row>
    <row r="760" spans="1:6" x14ac:dyDescent="0.35">
      <c r="A760" s="14">
        <f t="shared" si="12"/>
        <v>43128</v>
      </c>
      <c r="B760" s="2">
        <f>Table1[[#This Row],[date]]-day_zero</f>
        <v>758</v>
      </c>
      <c r="C760" s="16">
        <f>WEEKDAY(Table1[[#This Row],[date]],2 )</f>
        <v>7</v>
      </c>
      <c r="D760" s="1">
        <v>15</v>
      </c>
      <c r="E760" s="1">
        <v>7.5</v>
      </c>
      <c r="F760" s="16">
        <f>IF(Table1[[#This Row],[weekday]]&lt;6,2,0)</f>
        <v>0</v>
      </c>
    </row>
    <row r="761" spans="1:6" x14ac:dyDescent="0.35">
      <c r="A761" s="14">
        <f t="shared" si="12"/>
        <v>43129</v>
      </c>
      <c r="B761" s="2">
        <f>Table1[[#This Row],[date]]-day_zero</f>
        <v>759</v>
      </c>
      <c r="C761" s="16">
        <f>WEEKDAY(Table1[[#This Row],[date]],2 )</f>
        <v>1</v>
      </c>
      <c r="D761" s="1">
        <v>15</v>
      </c>
      <c r="E761" s="1">
        <v>7.5</v>
      </c>
      <c r="F761" s="16">
        <f>IF(Table1[[#This Row],[weekday]]&lt;6,2,0)</f>
        <v>2</v>
      </c>
    </row>
    <row r="762" spans="1:6" x14ac:dyDescent="0.35">
      <c r="A762" s="14">
        <f t="shared" si="12"/>
        <v>43130</v>
      </c>
      <c r="B762" s="2">
        <f>Table1[[#This Row],[date]]-day_zero</f>
        <v>760</v>
      </c>
      <c r="C762" s="16">
        <f>WEEKDAY(Table1[[#This Row],[date]],2 )</f>
        <v>2</v>
      </c>
      <c r="D762" s="1">
        <v>15</v>
      </c>
      <c r="E762" s="1">
        <v>7.5</v>
      </c>
      <c r="F762" s="16">
        <f>IF(Table1[[#This Row],[weekday]]&lt;6,2,0)</f>
        <v>2</v>
      </c>
    </row>
    <row r="763" spans="1:6" x14ac:dyDescent="0.35">
      <c r="A763" s="14">
        <f t="shared" si="12"/>
        <v>43131</v>
      </c>
      <c r="B763" s="2">
        <f>Table1[[#This Row],[date]]-day_zero</f>
        <v>761</v>
      </c>
      <c r="C763" s="16">
        <f>WEEKDAY(Table1[[#This Row],[date]],2 )</f>
        <v>3</v>
      </c>
      <c r="D763" s="1">
        <v>15</v>
      </c>
      <c r="E763" s="1">
        <v>7.5</v>
      </c>
      <c r="F763" s="16">
        <f>IF(Table1[[#This Row],[weekday]]&lt;6,2,0)</f>
        <v>2</v>
      </c>
    </row>
    <row r="764" spans="1:6" x14ac:dyDescent="0.35">
      <c r="A764" s="14">
        <f t="shared" si="12"/>
        <v>43132</v>
      </c>
      <c r="B764" s="2">
        <f>Table1[[#This Row],[date]]-day_zero</f>
        <v>762</v>
      </c>
      <c r="C764" s="16">
        <f>WEEKDAY(Table1[[#This Row],[date]],2 )</f>
        <v>4</v>
      </c>
      <c r="D764" s="1">
        <v>15</v>
      </c>
      <c r="E764" s="1">
        <v>7.5</v>
      </c>
      <c r="F764" s="16">
        <f>IF(Table1[[#This Row],[weekday]]&lt;6,2,0)</f>
        <v>2</v>
      </c>
    </row>
    <row r="765" spans="1:6" x14ac:dyDescent="0.35">
      <c r="A765" s="14">
        <f t="shared" si="12"/>
        <v>43133</v>
      </c>
      <c r="B765" s="2">
        <f>Table1[[#This Row],[date]]-day_zero</f>
        <v>763</v>
      </c>
      <c r="C765" s="16">
        <f>WEEKDAY(Table1[[#This Row],[date]],2 )</f>
        <v>5</v>
      </c>
      <c r="D765" s="1">
        <v>15</v>
      </c>
      <c r="E765" s="1">
        <v>7.5</v>
      </c>
      <c r="F765" s="16">
        <f>IF(Table1[[#This Row],[weekday]]&lt;6,2,0)</f>
        <v>2</v>
      </c>
    </row>
    <row r="766" spans="1:6" x14ac:dyDescent="0.35">
      <c r="A766" s="14">
        <f t="shared" si="12"/>
        <v>43134</v>
      </c>
      <c r="B766" s="2">
        <f>Table1[[#This Row],[date]]-day_zero</f>
        <v>764</v>
      </c>
      <c r="C766" s="16">
        <f>WEEKDAY(Table1[[#This Row],[date]],2 )</f>
        <v>6</v>
      </c>
      <c r="D766" s="1">
        <v>15</v>
      </c>
      <c r="E766" s="1">
        <v>7.5</v>
      </c>
      <c r="F766" s="16">
        <f>IF(Table1[[#This Row],[weekday]]&lt;6,2,0)</f>
        <v>0</v>
      </c>
    </row>
    <row r="767" spans="1:6" x14ac:dyDescent="0.35">
      <c r="A767" s="14">
        <f t="shared" si="12"/>
        <v>43135</v>
      </c>
      <c r="B767" s="2">
        <f>Table1[[#This Row],[date]]-day_zero</f>
        <v>765</v>
      </c>
      <c r="C767" s="16">
        <f>WEEKDAY(Table1[[#This Row],[date]],2 )</f>
        <v>7</v>
      </c>
      <c r="D767" s="1">
        <v>15</v>
      </c>
      <c r="E767" s="1">
        <v>7.5</v>
      </c>
      <c r="F767" s="16">
        <f>IF(Table1[[#This Row],[weekday]]&lt;6,2,0)</f>
        <v>0</v>
      </c>
    </row>
    <row r="768" spans="1:6" x14ac:dyDescent="0.35">
      <c r="A768" s="14">
        <f t="shared" si="12"/>
        <v>43136</v>
      </c>
      <c r="B768" s="2">
        <f>Table1[[#This Row],[date]]-day_zero</f>
        <v>766</v>
      </c>
      <c r="C768" s="16">
        <f>WEEKDAY(Table1[[#This Row],[date]],2 )</f>
        <v>1</v>
      </c>
      <c r="D768" s="1">
        <v>15</v>
      </c>
      <c r="E768" s="1">
        <v>7.5</v>
      </c>
      <c r="F768" s="16">
        <f>IF(Table1[[#This Row],[weekday]]&lt;6,2,0)</f>
        <v>2</v>
      </c>
    </row>
    <row r="769" spans="1:6" x14ac:dyDescent="0.35">
      <c r="A769" s="14">
        <f t="shared" si="12"/>
        <v>43137</v>
      </c>
      <c r="B769" s="2">
        <f>Table1[[#This Row],[date]]-day_zero</f>
        <v>767</v>
      </c>
      <c r="C769" s="16">
        <f>WEEKDAY(Table1[[#This Row],[date]],2 )</f>
        <v>2</v>
      </c>
      <c r="D769" s="1">
        <v>15</v>
      </c>
      <c r="E769" s="1">
        <v>7.5</v>
      </c>
      <c r="F769" s="16">
        <f>IF(Table1[[#This Row],[weekday]]&lt;6,2,0)</f>
        <v>2</v>
      </c>
    </row>
    <row r="770" spans="1:6" x14ac:dyDescent="0.35">
      <c r="A770" s="14">
        <f t="shared" si="12"/>
        <v>43138</v>
      </c>
      <c r="B770" s="2">
        <f>Table1[[#This Row],[date]]-day_zero</f>
        <v>768</v>
      </c>
      <c r="C770" s="16">
        <f>WEEKDAY(Table1[[#This Row],[date]],2 )</f>
        <v>3</v>
      </c>
      <c r="D770" s="1">
        <v>15</v>
      </c>
      <c r="E770" s="1">
        <v>7.5</v>
      </c>
      <c r="F770" s="16">
        <f>IF(Table1[[#This Row],[weekday]]&lt;6,2,0)</f>
        <v>2</v>
      </c>
    </row>
    <row r="771" spans="1:6" x14ac:dyDescent="0.35">
      <c r="A771" s="14">
        <f t="shared" si="12"/>
        <v>43139</v>
      </c>
      <c r="B771" s="2">
        <f>Table1[[#This Row],[date]]-day_zero</f>
        <v>769</v>
      </c>
      <c r="C771" s="16">
        <f>WEEKDAY(Table1[[#This Row],[date]],2 )</f>
        <v>4</v>
      </c>
      <c r="D771" s="1">
        <v>15</v>
      </c>
      <c r="E771" s="1">
        <v>7.5</v>
      </c>
      <c r="F771" s="16">
        <f>IF(Table1[[#This Row],[weekday]]&lt;6,2,0)</f>
        <v>2</v>
      </c>
    </row>
    <row r="772" spans="1:6" x14ac:dyDescent="0.35">
      <c r="A772" s="14">
        <f t="shared" si="12"/>
        <v>43140</v>
      </c>
      <c r="B772" s="2">
        <f>Table1[[#This Row],[date]]-day_zero</f>
        <v>770</v>
      </c>
      <c r="C772" s="16">
        <f>WEEKDAY(Table1[[#This Row],[date]],2 )</f>
        <v>5</v>
      </c>
      <c r="D772" s="1">
        <v>15</v>
      </c>
      <c r="E772" s="1">
        <v>7.5</v>
      </c>
      <c r="F772" s="16">
        <f>IF(Table1[[#This Row],[weekday]]&lt;6,2,0)</f>
        <v>2</v>
      </c>
    </row>
    <row r="773" spans="1:6" x14ac:dyDescent="0.35">
      <c r="A773" s="14">
        <f t="shared" si="12"/>
        <v>43141</v>
      </c>
      <c r="B773" s="2">
        <f>Table1[[#This Row],[date]]-day_zero</f>
        <v>771</v>
      </c>
      <c r="C773" s="16">
        <f>WEEKDAY(Table1[[#This Row],[date]],2 )</f>
        <v>6</v>
      </c>
      <c r="D773" s="1">
        <v>15</v>
      </c>
      <c r="E773" s="1">
        <v>7.5</v>
      </c>
      <c r="F773" s="16">
        <f>IF(Table1[[#This Row],[weekday]]&lt;6,2,0)</f>
        <v>0</v>
      </c>
    </row>
    <row r="774" spans="1:6" x14ac:dyDescent="0.35">
      <c r="A774" s="14">
        <f t="shared" si="12"/>
        <v>43142</v>
      </c>
      <c r="B774" s="2">
        <f>Table1[[#This Row],[date]]-day_zero</f>
        <v>772</v>
      </c>
      <c r="C774" s="16">
        <f>WEEKDAY(Table1[[#This Row],[date]],2 )</f>
        <v>7</v>
      </c>
      <c r="D774" s="1">
        <v>15</v>
      </c>
      <c r="E774" s="1">
        <v>7.5</v>
      </c>
      <c r="F774" s="16">
        <f>IF(Table1[[#This Row],[weekday]]&lt;6,2,0)</f>
        <v>0</v>
      </c>
    </row>
    <row r="775" spans="1:6" x14ac:dyDescent="0.35">
      <c r="A775" s="14">
        <f t="shared" si="12"/>
        <v>43143</v>
      </c>
      <c r="B775" s="2">
        <f>Table1[[#This Row],[date]]-day_zero</f>
        <v>773</v>
      </c>
      <c r="C775" s="16">
        <f>WEEKDAY(Table1[[#This Row],[date]],2 )</f>
        <v>1</v>
      </c>
      <c r="D775" s="1">
        <v>15</v>
      </c>
      <c r="E775" s="1">
        <v>7.5</v>
      </c>
      <c r="F775" s="16">
        <f>IF(Table1[[#This Row],[weekday]]&lt;6,2,0)</f>
        <v>2</v>
      </c>
    </row>
    <row r="776" spans="1:6" x14ac:dyDescent="0.35">
      <c r="A776" s="14">
        <f t="shared" si="12"/>
        <v>43144</v>
      </c>
      <c r="B776" s="2">
        <f>Table1[[#This Row],[date]]-day_zero</f>
        <v>774</v>
      </c>
      <c r="C776" s="16">
        <f>WEEKDAY(Table1[[#This Row],[date]],2 )</f>
        <v>2</v>
      </c>
      <c r="D776" s="1">
        <v>15</v>
      </c>
      <c r="E776" s="1">
        <v>7.5</v>
      </c>
      <c r="F776" s="16">
        <f>IF(Table1[[#This Row],[weekday]]&lt;6,2,0)</f>
        <v>2</v>
      </c>
    </row>
    <row r="777" spans="1:6" x14ac:dyDescent="0.35">
      <c r="A777" s="14">
        <f t="shared" si="12"/>
        <v>43145</v>
      </c>
      <c r="B777" s="2">
        <f>Table1[[#This Row],[date]]-day_zero</f>
        <v>775</v>
      </c>
      <c r="C777" s="16">
        <f>WEEKDAY(Table1[[#This Row],[date]],2 )</f>
        <v>3</v>
      </c>
      <c r="D777" s="1">
        <v>15</v>
      </c>
      <c r="E777" s="1">
        <v>7.5</v>
      </c>
      <c r="F777" s="16">
        <f>IF(Table1[[#This Row],[weekday]]&lt;6,2,0)</f>
        <v>2</v>
      </c>
    </row>
    <row r="778" spans="1:6" x14ac:dyDescent="0.35">
      <c r="A778" s="14">
        <f t="shared" si="12"/>
        <v>43146</v>
      </c>
      <c r="B778" s="2">
        <f>Table1[[#This Row],[date]]-day_zero</f>
        <v>776</v>
      </c>
      <c r="C778" s="16">
        <f>WEEKDAY(Table1[[#This Row],[date]],2 )</f>
        <v>4</v>
      </c>
      <c r="D778" s="1">
        <v>15</v>
      </c>
      <c r="E778" s="1">
        <v>7.5</v>
      </c>
      <c r="F778" s="16">
        <f>IF(Table1[[#This Row],[weekday]]&lt;6,2,0)</f>
        <v>2</v>
      </c>
    </row>
    <row r="779" spans="1:6" x14ac:dyDescent="0.35">
      <c r="A779" s="14">
        <f t="shared" si="12"/>
        <v>43147</v>
      </c>
      <c r="B779" s="2">
        <f>Table1[[#This Row],[date]]-day_zero</f>
        <v>777</v>
      </c>
      <c r="C779" s="16">
        <f>WEEKDAY(Table1[[#This Row],[date]],2 )</f>
        <v>5</v>
      </c>
      <c r="D779" s="1">
        <v>15</v>
      </c>
      <c r="E779" s="1">
        <v>7.5</v>
      </c>
      <c r="F779" s="16">
        <f>IF(Table1[[#This Row],[weekday]]&lt;6,2,0)</f>
        <v>2</v>
      </c>
    </row>
    <row r="780" spans="1:6" x14ac:dyDescent="0.35">
      <c r="A780" s="14">
        <f t="shared" ref="A780:A793" si="13">A779+1</f>
        <v>43148</v>
      </c>
      <c r="B780" s="2">
        <f>Table1[[#This Row],[date]]-day_zero</f>
        <v>778</v>
      </c>
      <c r="C780" s="16">
        <f>WEEKDAY(Table1[[#This Row],[date]],2 )</f>
        <v>6</v>
      </c>
      <c r="D780" s="1">
        <v>15</v>
      </c>
      <c r="E780" s="1">
        <v>7.5</v>
      </c>
      <c r="F780" s="16">
        <f>IF(Table1[[#This Row],[weekday]]&lt;6,2,0)</f>
        <v>0</v>
      </c>
    </row>
    <row r="781" spans="1:6" x14ac:dyDescent="0.35">
      <c r="A781" s="14">
        <f t="shared" si="13"/>
        <v>43149</v>
      </c>
      <c r="B781" s="2">
        <f>Table1[[#This Row],[date]]-day_zero</f>
        <v>779</v>
      </c>
      <c r="C781" s="16">
        <f>WEEKDAY(Table1[[#This Row],[date]],2 )</f>
        <v>7</v>
      </c>
      <c r="D781" s="1">
        <v>15</v>
      </c>
      <c r="E781" s="1">
        <v>7.5</v>
      </c>
      <c r="F781" s="16">
        <f>IF(Table1[[#This Row],[weekday]]&lt;6,2,0)</f>
        <v>0</v>
      </c>
    </row>
    <row r="782" spans="1:6" x14ac:dyDescent="0.35">
      <c r="A782" s="14">
        <f t="shared" si="13"/>
        <v>43150</v>
      </c>
      <c r="B782" s="2">
        <f>Table1[[#This Row],[date]]-day_zero</f>
        <v>780</v>
      </c>
      <c r="C782" s="16">
        <f>WEEKDAY(Table1[[#This Row],[date]],2 )</f>
        <v>1</v>
      </c>
      <c r="D782" s="1">
        <v>15</v>
      </c>
      <c r="E782" s="1">
        <v>7.5</v>
      </c>
      <c r="F782" s="16">
        <f>IF(Table1[[#This Row],[weekday]]&lt;6,2,0)</f>
        <v>2</v>
      </c>
    </row>
    <row r="783" spans="1:6" x14ac:dyDescent="0.35">
      <c r="A783" s="14">
        <f t="shared" si="13"/>
        <v>43151</v>
      </c>
      <c r="B783" s="2">
        <f>Table1[[#This Row],[date]]-day_zero</f>
        <v>781</v>
      </c>
      <c r="C783" s="16">
        <f>WEEKDAY(Table1[[#This Row],[date]],2 )</f>
        <v>2</v>
      </c>
      <c r="D783" s="1">
        <v>15</v>
      </c>
      <c r="E783" s="1">
        <v>7.5</v>
      </c>
      <c r="F783" s="16">
        <f>IF(Table1[[#This Row],[weekday]]&lt;6,2,0)</f>
        <v>2</v>
      </c>
    </row>
    <row r="784" spans="1:6" x14ac:dyDescent="0.35">
      <c r="A784" s="14">
        <f t="shared" si="13"/>
        <v>43152</v>
      </c>
      <c r="B784" s="2">
        <f>Table1[[#This Row],[date]]-day_zero</f>
        <v>782</v>
      </c>
      <c r="C784" s="16">
        <f>WEEKDAY(Table1[[#This Row],[date]],2 )</f>
        <v>3</v>
      </c>
      <c r="D784" s="1">
        <v>15</v>
      </c>
      <c r="E784" s="1">
        <v>7.5</v>
      </c>
      <c r="F784" s="16">
        <f>IF(Table1[[#This Row],[weekday]]&lt;6,2,0)</f>
        <v>2</v>
      </c>
    </row>
    <row r="785" spans="1:6" x14ac:dyDescent="0.35">
      <c r="A785" s="14">
        <f t="shared" si="13"/>
        <v>43153</v>
      </c>
      <c r="B785" s="2">
        <f>Table1[[#This Row],[date]]-day_zero</f>
        <v>783</v>
      </c>
      <c r="C785" s="16">
        <f>WEEKDAY(Table1[[#This Row],[date]],2 )</f>
        <v>4</v>
      </c>
      <c r="D785" s="1">
        <v>15</v>
      </c>
      <c r="E785" s="1">
        <v>7.5</v>
      </c>
      <c r="F785" s="16">
        <f>IF(Table1[[#This Row],[weekday]]&lt;6,2,0)</f>
        <v>2</v>
      </c>
    </row>
    <row r="786" spans="1:6" x14ac:dyDescent="0.35">
      <c r="A786" s="14">
        <f t="shared" si="13"/>
        <v>43154</v>
      </c>
      <c r="B786" s="2">
        <f>Table1[[#This Row],[date]]-day_zero</f>
        <v>784</v>
      </c>
      <c r="C786" s="16">
        <f>WEEKDAY(Table1[[#This Row],[date]],2 )</f>
        <v>5</v>
      </c>
      <c r="D786" s="1">
        <v>15</v>
      </c>
      <c r="E786" s="1">
        <v>7.5</v>
      </c>
      <c r="F786" s="16">
        <f>IF(Table1[[#This Row],[weekday]]&lt;6,2,0)</f>
        <v>2</v>
      </c>
    </row>
    <row r="787" spans="1:6" x14ac:dyDescent="0.35">
      <c r="A787" s="14">
        <f t="shared" si="13"/>
        <v>43155</v>
      </c>
      <c r="B787" s="2">
        <f>Table1[[#This Row],[date]]-day_zero</f>
        <v>785</v>
      </c>
      <c r="C787" s="16">
        <f>WEEKDAY(Table1[[#This Row],[date]],2 )</f>
        <v>6</v>
      </c>
      <c r="D787" s="1">
        <v>15</v>
      </c>
      <c r="E787" s="1">
        <v>7.5</v>
      </c>
      <c r="F787" s="16">
        <f>IF(Table1[[#This Row],[weekday]]&lt;6,2,0)</f>
        <v>0</v>
      </c>
    </row>
    <row r="788" spans="1:6" x14ac:dyDescent="0.35">
      <c r="A788" s="14">
        <f t="shared" si="13"/>
        <v>43156</v>
      </c>
      <c r="B788" s="2">
        <f>Table1[[#This Row],[date]]-day_zero</f>
        <v>786</v>
      </c>
      <c r="C788" s="16">
        <f>WEEKDAY(Table1[[#This Row],[date]],2 )</f>
        <v>7</v>
      </c>
      <c r="D788" s="1">
        <v>15</v>
      </c>
      <c r="E788" s="1">
        <v>7.5</v>
      </c>
      <c r="F788" s="16">
        <f>IF(Table1[[#This Row],[weekday]]&lt;6,2,0)</f>
        <v>0</v>
      </c>
    </row>
    <row r="789" spans="1:6" x14ac:dyDescent="0.35">
      <c r="A789" s="14">
        <f t="shared" si="13"/>
        <v>43157</v>
      </c>
      <c r="B789" s="2">
        <f>Table1[[#This Row],[date]]-day_zero</f>
        <v>787</v>
      </c>
      <c r="C789" s="16">
        <f>WEEKDAY(Table1[[#This Row],[date]],2 )</f>
        <v>1</v>
      </c>
      <c r="D789" s="1">
        <v>15</v>
      </c>
      <c r="E789" s="1">
        <v>7.5</v>
      </c>
      <c r="F789" s="16">
        <f>IF(Table1[[#This Row],[weekday]]&lt;6,2,0)</f>
        <v>2</v>
      </c>
    </row>
    <row r="790" spans="1:6" x14ac:dyDescent="0.35">
      <c r="A790" s="14">
        <f t="shared" si="13"/>
        <v>43158</v>
      </c>
      <c r="B790" s="2">
        <f>Table1[[#This Row],[date]]-day_zero</f>
        <v>788</v>
      </c>
      <c r="C790" s="16">
        <f>WEEKDAY(Table1[[#This Row],[date]],2 )</f>
        <v>2</v>
      </c>
      <c r="D790" s="1">
        <v>15</v>
      </c>
      <c r="E790" s="1">
        <v>7.5</v>
      </c>
      <c r="F790" s="16">
        <f>IF(Table1[[#This Row],[weekday]]&lt;6,2,0)</f>
        <v>2</v>
      </c>
    </row>
    <row r="791" spans="1:6" x14ac:dyDescent="0.35">
      <c r="A791" s="14">
        <f t="shared" si="13"/>
        <v>43159</v>
      </c>
      <c r="B791" s="2">
        <f>Table1[[#This Row],[date]]-day_zero</f>
        <v>789</v>
      </c>
      <c r="C791" s="16">
        <f>WEEKDAY(Table1[[#This Row],[date]],2 )</f>
        <v>3</v>
      </c>
      <c r="D791" s="1">
        <v>15</v>
      </c>
      <c r="E791" s="1">
        <v>7.5</v>
      </c>
      <c r="F791" s="16">
        <f>IF(Table1[[#This Row],[weekday]]&lt;6,2,0)</f>
        <v>2</v>
      </c>
    </row>
    <row r="792" spans="1:6" x14ac:dyDescent="0.35">
      <c r="A792" s="14">
        <f t="shared" si="13"/>
        <v>43160</v>
      </c>
      <c r="B792" s="2">
        <f>Table1[[#This Row],[date]]-day_zero</f>
        <v>790</v>
      </c>
      <c r="C792" s="16">
        <f>WEEKDAY(Table1[[#This Row],[date]],2 )</f>
        <v>4</v>
      </c>
      <c r="D792" s="1">
        <v>15</v>
      </c>
      <c r="E792" s="1">
        <v>7.5</v>
      </c>
      <c r="F792" s="16">
        <f>IF(Table1[[#This Row],[weekday]]&lt;6,2,0)</f>
        <v>2</v>
      </c>
    </row>
    <row r="793" spans="1:6" x14ac:dyDescent="0.35">
      <c r="A793" s="14">
        <f t="shared" si="13"/>
        <v>43161</v>
      </c>
      <c r="B793" s="2">
        <f>Table1[[#This Row],[date]]-day_zero</f>
        <v>791</v>
      </c>
      <c r="C793" s="16">
        <f>WEEKDAY(Table1[[#This Row],[date]],2 )</f>
        <v>5</v>
      </c>
      <c r="D793" s="1">
        <v>15</v>
      </c>
      <c r="E793" s="1">
        <v>7.5</v>
      </c>
      <c r="F793" s="16">
        <f>IF(Table1[[#This Row],[weekday]]&lt;6,2,0)</f>
        <v>2</v>
      </c>
    </row>
  </sheetData>
  <conditionalFormatting sqref="F2:F793">
    <cfRule type="colorScale" priority="2">
      <colorScale>
        <cfvo type="min"/>
        <cfvo type="max"/>
        <color theme="0"/>
        <color theme="4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production_start x-table</vt:lpstr>
      <vt:lpstr>bom and bol x_table</vt:lpstr>
      <vt:lpstr>production_start</vt:lpstr>
      <vt:lpstr>bom</vt:lpstr>
      <vt:lpstr>bol</vt:lpstr>
      <vt:lpstr>codes_descriptions</vt:lpstr>
      <vt:lpstr>work_cells</vt:lpstr>
      <vt:lpstr>initial_warehouse</vt:lpstr>
      <vt:lpstr>shifts</vt:lpstr>
      <vt:lpstr>codes_list</vt:lpstr>
      <vt:lpstr>day_zero</vt:lpstr>
      <vt:lpstr>work_cells_list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Faustino Palma</dc:creator>
  <cp:lastModifiedBy>Faustino Palma</cp:lastModifiedBy>
  <dcterms:created xsi:type="dcterms:W3CDTF">2015-02-06T09:47:50Z</dcterms:created>
  <dcterms:modified xsi:type="dcterms:W3CDTF">2016-01-19T10:40:53Z</dcterms:modified>
</cp:coreProperties>
</file>